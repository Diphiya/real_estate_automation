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715" yWindow="-21720" windowWidth="38640" windowHeight="21120" tabRatio="600" firstSheet="0" activeTab="0" autoFilterDateGrouping="1"/>
  </bookViews>
  <sheets>
    <sheet xmlns:r="http://schemas.openxmlformats.org/officeDocument/2006/relationships" name="Business Case (intern)" sheetId="1" state="visible" r:id="rId1"/>
    <sheet xmlns:r="http://schemas.openxmlformats.org/officeDocument/2006/relationships" name="INPUT_Stammdaten" sheetId="2" state="visible" r:id="rId2"/>
    <sheet xmlns:r="http://schemas.openxmlformats.org/officeDocument/2006/relationships" name="INPUT_Verkaufseinschätzung Mark" sheetId="3" state="visible" r:id="rId3"/>
    <sheet xmlns:r="http://schemas.openxmlformats.org/officeDocument/2006/relationships" name="INPUT_Finanzierung" sheetId="4" state="visible" r:id="rId4"/>
  </sheets>
  <definedNames>
    <definedName name="Abgeschlossenheitsbescheinigung">INPUT_Stammdaten!$C$22</definedName>
    <definedName name="Abzahl_TG">INPUT_Stammdaten!$C$40</definedName>
    <definedName name="Adresse">INPUT_Stammdaten!$C$10</definedName>
    <definedName name="Anzahl_Stellplätze">INPUT_Stammdaten!$C$39</definedName>
    <definedName name="anzvollgeschosse">#REF!</definedName>
    <definedName name="Aufgeteilt_nach_WEG">INPUT_Stammdaten!$C$23</definedName>
    <definedName name="Baujahr">INPUT_Stammdaten!$C$14</definedName>
    <definedName name="Bezirk">INPUT_Stammdaten!$C$12</definedName>
    <definedName name="Bodenrichtwert">INPUT_Stammdaten!$C$17</definedName>
    <definedName name="Dachgeschoß_Ausbau">INPUT_Stammdaten!$C$21</definedName>
    <definedName name="Darlehen_Bank">INPUT_Finanzierung!$C$7</definedName>
    <definedName name="Darlehen_Mezzanin">INPUT_Finanzierung!#REF!</definedName>
    <definedName name="Einheiten_Gewerbe">INPUT_Stammdaten!$C$35</definedName>
    <definedName name="EK_Notwendig">INPUT_Finanzierung!$C$18</definedName>
    <definedName name="EK_Verzinsung">INPUT_Finanzierung!#REF!</definedName>
    <definedName name="Gebäudeteile">INPUT_Stammdaten!$C$19</definedName>
    <definedName name="Gesamt_Vermietbare_Fläche">INPUT_Stammdaten!$C$42</definedName>
    <definedName name="Gesamtinvestitionskosten">INPUT_Stammdaten!$C$51</definedName>
    <definedName name="Gesamtkosten_Sanierung">#REF!</definedName>
    <definedName name="gewerbeeinheiten">#REF!</definedName>
    <definedName name="GIK">#REF!</definedName>
    <definedName name="GoogleMaps_Link">INPUT_Stammdaten!$C$11</definedName>
    <definedName name="grundstücksgröße">#REF!</definedName>
    <definedName name="Kapitalbindung_Bank">INPUT_Finanzierung!$C$14</definedName>
    <definedName name="Kapitalbindung_Mezzanin">INPUT_Finanzierung!#REF!</definedName>
    <definedName name="Kaufpreis">INPUT_Stammdaten!$C$45</definedName>
    <definedName name="KNK">INPUT_Stammdaten!$C$47</definedName>
    <definedName name="kosten_Mietereinigung">#REF!</definedName>
    <definedName name="kosten_sanierung">#REF!</definedName>
    <definedName name="Kosten_WEG_Aufteilung">INPUT_Stammdaten!$C$48</definedName>
    <definedName name="Leerstand_Gewerbe">INPUT_Stammdaten!$C$37</definedName>
    <definedName name="Leerstand_Wohnen">INPUT_Stammdaten!$C$34</definedName>
    <definedName name="Letzte_Sanierung">INPUT_Stammdaten!$C$15</definedName>
    <definedName name="Maklerkosten">INPUT_Stammdaten!$C$46</definedName>
    <definedName name="Nettokaltmiete">'INPUT_Verkaufseinschätzung Mark'!#REF!</definedName>
    <definedName name="Objekttyp">INPUT_Stammdaten!$C$13</definedName>
    <definedName name="Potential_Nachverdichtung">INPUT_Stammdaten!#REF!</definedName>
    <definedName name="Sanierungskosten_Einheiten">#REF!</definedName>
    <definedName name="Sanierungskosten_Gemeinschaftseigentum">#REF!</definedName>
    <definedName name="Sonstige_vermietbare_Fläche">INPUT_Stammdaten!$C$38</definedName>
    <definedName name="stand">#REF!</definedName>
    <definedName name="Strukturierungsentgelt_Bank">INPUT_Finanzierung!$C$9</definedName>
    <definedName name="Tilgung_Bank">INPUT_Finanzierung!$C$10</definedName>
    <definedName name="Tilgung_Mezzanin">INPUT_Finanzierung!#REF!</definedName>
    <definedName name="Tilgungsfreie_Zeit_Bank">INPUT_Finanzierung!$C$12</definedName>
    <definedName name="verkaufserlös_Soll">#REF!</definedName>
    <definedName name="Verkaufserlöse_BaseCase">'INPUT_Verkaufseinschätzung Mark'!$H$24</definedName>
    <definedName name="Verkaufserlöse_BestCase">'INPUT_Verkaufseinschätzung Mark'!#REF!</definedName>
    <definedName name="Verkaufserlöse_WorstCase">'INPUT_Verkaufseinschätzung Mark'!#REF!</definedName>
    <definedName name="Vermietbare_Fläche_Soll">INPUT_Stammdaten!#REF!</definedName>
    <definedName name="Wert_Boden">INPUT_Stammdaten!$C$18</definedName>
    <definedName name="WFL_Wohnen">INPUT_Stammdaten!$C$33</definedName>
    <definedName name="wohneinheiten">#REF!</definedName>
    <definedName name="Zins_Bank">INPUT_Finanzierung!$C$11</definedName>
    <definedName name="Zins_Mezzanin">INPUT_Finanzierung!#REF!</definedName>
    <definedName name="Zinskosten_Bank">INPUT_Finanzierung!$C$15</definedName>
    <definedName name="Zinskosten_Mezzanin">INPUT_Finanzierung!#REF!</definedName>
    <definedName name="Zinskoten_gesamt">INPUT_Finanzierung!$C$19</definedName>
    <definedName name="Anzahl_Wohneinheiten" localSheetId="1">INPUT_Stammdaten!$C$32</definedName>
    <definedName name="anzvollgeschosse" localSheetId="1">INPUT_Stammdaten!$C$20</definedName>
    <definedName name="GIK" localSheetId="1">INPUT_Stammdaten!$C$51</definedName>
    <definedName name="grundstücksgröße" localSheetId="1">INPUT_Stammdaten!$C$16</definedName>
    <definedName name="stand" localSheetId="1">#REF!</definedName>
    <definedName name="WFL_Gewerbe" localSheetId="1">INPUT_Stammdaten!$C$36</definedName>
    <definedName name="kosten_Mietereinigung" localSheetId="2">#REF!</definedName>
    <definedName name="kosten_sanierung" localSheetId="2">#REF!</definedName>
    <definedName name="verkaufserlös_Soll" localSheetId="2">#REF!</definedName>
    <definedName name="_xlnm._FilterDatabase" localSheetId="2" hidden="1">'INPUT_Verkaufseinschätzung Mark'!$B$8:$H$26</definedName>
    <definedName name="anzvollgeschosse" localSheetId="3">#REF!</definedName>
    <definedName name="gewerbeeinheiten" localSheetId="3">#REF!</definedName>
    <definedName name="GIK" localSheetId="3">#REF!</definedName>
    <definedName name="grundstücksgröße" localSheetId="3">#REF!</definedName>
    <definedName name="stand" localSheetId="3">INPUT_Finanzierung!$E$4</definedName>
    <definedName name="wohneinheiten" localSheetId="3">#REF!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.##\ &quot;€/m²&quot;;\-;\-"/>
    <numFmt numFmtId="165" formatCode="#,##0\ [$€-1]"/>
    <numFmt numFmtId="166" formatCode="_-* #,##0\ &quot;€&quot;_-;\-* #,##0\ &quot;€&quot;_-;_-* &quot;-&quot;??\ &quot;€&quot;_-;_-@"/>
    <numFmt numFmtId="167" formatCode="#.##\ &quot;m²&quot;;\-;\-"/>
    <numFmt numFmtId="168" formatCode="_-* #,##0.00_-;\-* #,##0.00_-;_-* &quot;-&quot;??_-;_-@"/>
    <numFmt numFmtId="169" formatCode="#.##0,\ &quot;m²&quot;;\-;\-"/>
    <numFmt numFmtId="170" formatCode="[$€]#,##0"/>
    <numFmt numFmtId="171" formatCode="_(&quot;€&quot;* #,##0_);_(&quot;€&quot;* \(#,##0\);_(&quot;€&quot;* &quot;-&quot;??_);_(@_)"/>
    <numFmt numFmtId="172" formatCode="_-* #,##0.00\ &quot;€&quot;_-;\-* #,##0.00\ &quot;€&quot;_-;_-* &quot;-&quot;??\ &quot;€&quot;_-;_-@_-"/>
    <numFmt numFmtId="173" formatCode="#,##0.00\ [$€-1]"/>
  </numFmts>
  <fonts count="34">
    <font>
      <name val="Arial"/>
      <color theme="1"/>
      <sz val="10"/>
      <scheme val="minor"/>
    </font>
    <font>
      <name val="Arial"/>
      <color theme="1"/>
      <sz val="9"/>
    </font>
    <font>
      <name val="Arial"/>
      <b val="1"/>
      <color rgb="FF0000FF"/>
      <sz val="9"/>
    </font>
    <font>
      <name val="Arial"/>
      <b val="1"/>
      <color rgb="FFFFFFFF"/>
      <sz val="15"/>
    </font>
    <font>
      <name val="Arial"/>
      <b val="1"/>
      <color rgb="FFFFFFFF"/>
      <sz val="12"/>
    </font>
    <font>
      <name val="Arial"/>
      <b val="1"/>
      <color rgb="FFFFFFFF"/>
      <sz val="9"/>
    </font>
    <font>
      <name val="Arial"/>
      <b val="1"/>
      <color theme="0"/>
      <sz val="9"/>
    </font>
    <font>
      <name val="Arial"/>
      <color rgb="FFFFFFFF"/>
      <sz val="11"/>
    </font>
    <font>
      <name val="Arial"/>
      <b val="1"/>
      <color rgb="FFFFFFFF"/>
      <sz val="11"/>
    </font>
    <font>
      <name val="Arial"/>
      <color theme="1"/>
      <sz val="11"/>
    </font>
    <font>
      <name val="Arial"/>
      <b val="1"/>
      <color theme="1"/>
      <sz val="14"/>
    </font>
    <font>
      <name val="Arial"/>
      <i val="1"/>
      <color theme="1"/>
      <sz val="11"/>
    </font>
    <font>
      <name val="Arial"/>
      <i val="1"/>
      <color theme="1"/>
      <sz val="10"/>
    </font>
    <font>
      <name val="Arial"/>
      <b val="1"/>
      <color theme="1"/>
      <sz val="11"/>
    </font>
    <font>
      <name val="Arial"/>
      <b val="1"/>
      <color theme="1"/>
      <sz val="10"/>
    </font>
    <font>
      <name val="Arial"/>
      <color theme="1"/>
      <sz val="10"/>
      <scheme val="minor"/>
    </font>
    <font>
      <name val="Arial"/>
      <color rgb="FF0000FF"/>
      <sz val="11"/>
    </font>
    <font>
      <name val="Arial"/>
      <color theme="1"/>
      <sz val="10"/>
    </font>
    <font>
      <name val="Arial"/>
      <color rgb="FF0000FF"/>
      <sz val="9"/>
    </font>
    <font>
      <name val="Arial"/>
      <sz val="10"/>
    </font>
    <font>
      <name val="Arial"/>
      <color theme="1"/>
      <sz val="12"/>
    </font>
    <font>
      <name val="Arial"/>
      <b val="1"/>
      <color rgb="FFFFFFFF"/>
      <sz val="16"/>
    </font>
    <font>
      <name val="Arial"/>
      <color rgb="FF000000"/>
      <sz val="9"/>
    </font>
    <font>
      <name val="Arial"/>
      <color rgb="FFFFFFFF"/>
      <sz val="9"/>
    </font>
    <font>
      <name val="Arial"/>
      <color rgb="FF0000FF"/>
      <sz val="12"/>
    </font>
    <font>
      <name val="Arial"/>
      <color rgb="FF0563C1"/>
      <sz val="12"/>
      <u val="single"/>
    </font>
    <font>
      <name val="Arial"/>
      <color rgb="FF0000FF"/>
      <sz val="12"/>
      <u val="single"/>
    </font>
    <font>
      <name val="Arial"/>
      <color theme="1"/>
      <sz val="14"/>
    </font>
    <font>
      <name val="Arial"/>
      <b val="1"/>
      <color rgb="FF000000"/>
      <sz val="9"/>
    </font>
    <font>
      <name val="Arial"/>
      <b val="1"/>
      <color theme="1"/>
      <sz val="13"/>
    </font>
    <font>
      <name val="Arial"/>
      <color rgb="FF000000"/>
      <sz val="12"/>
    </font>
    <font>
      <name val="Arial"/>
      <color theme="1"/>
      <sz val="10"/>
    </font>
    <font>
      <name val="Arial"/>
      <color rgb="FF000000"/>
      <sz val="11"/>
    </font>
    <font>
      <color rgb="000000FF"/>
    </font>
  </fonts>
  <fills count="1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99"/>
        <bgColor rgb="FFFFFF99"/>
      </patternFill>
    </fill>
    <fill>
      <patternFill patternType="solid">
        <fgColor rgb="FF193B81"/>
        <bgColor rgb="FF193B8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rgb="FFFFFF99"/>
      </patternFill>
    </fill>
  </fills>
  <borders count="4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93B81"/>
      </left>
      <right/>
      <top style="thin">
        <color rgb="FF193B81"/>
      </top>
      <bottom style="thin">
        <color rgb="FF193B81"/>
      </bottom>
      <diagonal/>
    </border>
    <border>
      <left/>
      <right/>
      <top style="thin">
        <color rgb="FF193B81"/>
      </top>
      <bottom style="thin">
        <color rgb="FF193B81"/>
      </bottom>
      <diagonal/>
    </border>
    <border>
      <left/>
      <right style="thin">
        <color rgb="FF193B81"/>
      </right>
      <top style="thin">
        <color rgb="FF193B81"/>
      </top>
      <bottom style="thin">
        <color rgb="FF193B81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n">
        <color indexed="64"/>
      </right>
      <top style="thick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193B81"/>
      </left>
      <right style="thin">
        <color rgb="FF193B81"/>
      </right>
      <top style="thin">
        <color rgb="FF193B81"/>
      </top>
      <bottom style="thin">
        <color rgb="FF193B81"/>
      </bottom>
      <diagonal/>
    </border>
    <border>
      <left/>
      <right/>
      <top style="thin">
        <color rgb="FF193B81"/>
      </top>
      <bottom/>
      <diagonal/>
    </border>
    <border>
      <left/>
      <right style="thin">
        <color rgb="FF193B81"/>
      </right>
      <top style="thin">
        <color rgb="FF193B81"/>
      </top>
      <bottom/>
      <diagonal/>
    </border>
  </borders>
  <cellStyleXfs count="2">
    <xf numFmtId="0" fontId="15" fillId="0" borderId="23"/>
    <xf numFmtId="44" fontId="15" fillId="0" borderId="23"/>
  </cellStyleXfs>
  <cellXfs count="193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1" fillId="2" borderId="2" pivotButton="0" quotePrefix="0" xfId="0"/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14" fontId="5" fillId="4" borderId="1" applyAlignment="1" pivotButton="0" quotePrefix="0" xfId="0">
      <alignment horizontal="left" vertical="center"/>
    </xf>
    <xf numFmtId="0" fontId="6" fillId="4" borderId="3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5" fillId="4" borderId="3" applyAlignment="1" pivotButton="0" quotePrefix="0" xfId="0">
      <alignment horizontal="center" vertical="center"/>
    </xf>
    <xf numFmtId="0" fontId="1" fillId="2" borderId="4" pivotButton="0" quotePrefix="0" xfId="0"/>
    <xf numFmtId="0" fontId="4" fillId="5" borderId="5" applyAlignment="1" pivotButton="0" quotePrefix="0" xfId="0">
      <alignment horizontal="left" vertical="center"/>
    </xf>
    <xf numFmtId="0" fontId="7" fillId="5" borderId="6" applyAlignment="1" pivotButton="0" quotePrefix="0" xfId="0">
      <alignment horizontal="left" vertical="center"/>
    </xf>
    <xf numFmtId="0" fontId="8" fillId="5" borderId="7" applyAlignment="1" pivotButton="0" quotePrefix="0" xfId="0">
      <alignment horizontal="left" vertical="center"/>
    </xf>
    <xf numFmtId="0" fontId="8" fillId="5" borderId="8" applyAlignment="1" pivotButton="0" quotePrefix="0" xfId="0">
      <alignment horizontal="left" vertical="center"/>
    </xf>
    <xf numFmtId="0" fontId="1" fillId="2" borderId="9" pivotButton="0" quotePrefix="0" xfId="0"/>
    <xf numFmtId="0" fontId="9" fillId="6" borderId="10" pivotButton="0" quotePrefix="0" xfId="0"/>
    <xf numFmtId="0" fontId="10" fillId="7" borderId="0" applyAlignment="1" pivotButton="0" quotePrefix="0" xfId="0">
      <alignment horizontal="center"/>
    </xf>
    <xf numFmtId="0" fontId="10" fillId="8" borderId="0" applyAlignment="1" pivotButton="0" quotePrefix="0" xfId="0">
      <alignment horizontal="center"/>
    </xf>
    <xf numFmtId="0" fontId="10" fillId="9" borderId="0" applyAlignment="1" pivotButton="0" quotePrefix="0" xfId="0">
      <alignment horizontal="center"/>
    </xf>
    <xf numFmtId="0" fontId="11" fillId="6" borderId="10" applyAlignment="1" pivotButton="0" quotePrefix="0" xfId="0">
      <alignment horizontal="right"/>
    </xf>
    <xf numFmtId="164" fontId="12" fillId="7" borderId="0" applyAlignment="1" pivotButton="0" quotePrefix="0" xfId="0">
      <alignment horizontal="center"/>
    </xf>
    <xf numFmtId="164" fontId="12" fillId="8" borderId="0" applyAlignment="1" pivotButton="0" quotePrefix="0" xfId="0">
      <alignment horizontal="center"/>
    </xf>
    <xf numFmtId="164" fontId="12" fillId="9" borderId="0" applyAlignment="1" pivotButton="0" quotePrefix="0" xfId="0">
      <alignment horizontal="center"/>
    </xf>
    <xf numFmtId="165" fontId="9" fillId="6" borderId="0" applyAlignment="1" pivotButton="0" quotePrefix="0" xfId="0">
      <alignment horizontal="right"/>
    </xf>
    <xf numFmtId="165" fontId="9" fillId="6" borderId="11" applyAlignment="1" pivotButton="0" quotePrefix="0" xfId="0">
      <alignment horizontal="right"/>
    </xf>
    <xf numFmtId="0" fontId="9" fillId="6" borderId="12" pivotButton="0" quotePrefix="0" xfId="0"/>
    <xf numFmtId="0" fontId="13" fillId="0" borderId="0" pivotButton="0" quotePrefix="0" xfId="0"/>
    <xf numFmtId="165" fontId="14" fillId="0" borderId="0" pivotButton="0" quotePrefix="0" xfId="0"/>
    <xf numFmtId="0" fontId="9" fillId="6" borderId="0" pivotButton="0" quotePrefix="0" xfId="0"/>
    <xf numFmtId="0" fontId="9" fillId="10" borderId="0" pivotButton="0" quotePrefix="0" xfId="0"/>
    <xf numFmtId="165" fontId="9" fillId="10" borderId="0" applyAlignment="1" pivotButton="0" quotePrefix="0" xfId="0">
      <alignment horizontal="right"/>
    </xf>
    <xf numFmtId="0" fontId="15" fillId="0" borderId="0" pivotButton="0" quotePrefix="0" xfId="0"/>
    <xf numFmtId="165" fontId="15" fillId="0" borderId="0" pivotButton="0" quotePrefix="0" xfId="0"/>
    <xf numFmtId="0" fontId="13" fillId="11" borderId="5" pivotButton="0" quotePrefix="0" xfId="0"/>
    <xf numFmtId="166" fontId="13" fillId="11" borderId="14" pivotButton="0" quotePrefix="0" xfId="0"/>
    <xf numFmtId="0" fontId="13" fillId="6" borderId="10" pivotButton="0" quotePrefix="0" xfId="0"/>
    <xf numFmtId="166" fontId="9" fillId="6" borderId="0" pivotButton="0" quotePrefix="0" xfId="0"/>
    <xf numFmtId="166" fontId="13" fillId="6" borderId="0" pivotButton="0" quotePrefix="0" xfId="0"/>
    <xf numFmtId="0" fontId="13" fillId="12" borderId="5" pivotButton="0" quotePrefix="0" xfId="0"/>
    <xf numFmtId="166" fontId="13" fillId="12" borderId="14" pivotButton="0" quotePrefix="0" xfId="0"/>
    <xf numFmtId="166" fontId="15" fillId="0" borderId="0" pivotButton="0" quotePrefix="0" xfId="0"/>
    <xf numFmtId="10" fontId="16" fillId="6" borderId="13" pivotButton="0" quotePrefix="0" xfId="0"/>
    <xf numFmtId="0" fontId="17" fillId="6" borderId="0" pivotButton="0" quotePrefix="0" xfId="0"/>
    <xf numFmtId="0" fontId="1" fillId="0" borderId="0" pivotButton="0" quotePrefix="0" xfId="0"/>
    <xf numFmtId="0" fontId="17" fillId="0" borderId="14" pivotButton="0" quotePrefix="0" xfId="0"/>
    <xf numFmtId="0" fontId="9" fillId="0" borderId="0" applyAlignment="1" pivotButton="0" quotePrefix="0" xfId="0">
      <alignment horizontal="left"/>
    </xf>
    <xf numFmtId="0" fontId="17" fillId="0" borderId="13" pivotButton="0" quotePrefix="0" xfId="0"/>
    <xf numFmtId="0" fontId="1" fillId="2" borderId="0" pivotButton="0" quotePrefix="0" xfId="0"/>
    <xf numFmtId="0" fontId="5" fillId="4" borderId="3" applyAlignment="1" pivotButton="0" quotePrefix="0" xfId="0">
      <alignment horizontal="right" vertical="center"/>
    </xf>
    <xf numFmtId="0" fontId="5" fillId="4" borderId="3" applyAlignment="1" pivotButton="0" quotePrefix="0" xfId="0">
      <alignment horizontal="left" vertical="center"/>
    </xf>
    <xf numFmtId="0" fontId="1" fillId="2" borderId="17" pivotButton="0" quotePrefix="0" xfId="0"/>
    <xf numFmtId="0" fontId="4" fillId="5" borderId="24" applyAlignment="1" pivotButton="0" quotePrefix="0" xfId="0">
      <alignment horizontal="left" vertical="center"/>
    </xf>
    <xf numFmtId="0" fontId="5" fillId="5" borderId="25" applyAlignment="1" pivotButton="0" quotePrefix="0" xfId="0">
      <alignment horizontal="left" vertical="center"/>
    </xf>
    <xf numFmtId="0" fontId="5" fillId="5" borderId="26" applyAlignment="1" pivotButton="0" quotePrefix="0" xfId="0">
      <alignment horizontal="left" vertical="center"/>
    </xf>
    <xf numFmtId="0" fontId="1" fillId="2" borderId="16" pivotButton="0" quotePrefix="0" xfId="0"/>
    <xf numFmtId="0" fontId="1" fillId="2" borderId="1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4" fillId="4" borderId="1" applyAlignment="1" pivotButton="0" quotePrefix="0" xfId="0">
      <alignment horizontal="left" vertical="center"/>
    </xf>
    <xf numFmtId="0" fontId="4" fillId="4" borderId="3" applyAlignment="1" pivotButton="0" quotePrefix="0" xfId="0">
      <alignment horizontal="left" vertical="center"/>
    </xf>
    <xf numFmtId="0" fontId="4" fillId="5" borderId="22" applyAlignment="1" pivotButton="0" quotePrefix="0" xfId="0">
      <alignment horizontal="left" vertical="center"/>
    </xf>
    <xf numFmtId="0" fontId="23" fillId="5" borderId="22" applyAlignment="1" pivotButton="0" quotePrefix="0" xfId="0">
      <alignment horizontal="left" vertical="center"/>
    </xf>
    <xf numFmtId="0" fontId="5" fillId="5" borderId="22" applyAlignment="1" pivotButton="0" quotePrefix="0" xfId="0">
      <alignment horizontal="left" vertical="center"/>
    </xf>
    <xf numFmtId="0" fontId="4" fillId="5" borderId="3" applyAlignment="1" pivotButton="0" quotePrefix="0" xfId="0">
      <alignment horizontal="left" vertical="center"/>
    </xf>
    <xf numFmtId="0" fontId="23" fillId="5" borderId="3" applyAlignment="1" pivotButton="0" quotePrefix="0" xfId="0">
      <alignment horizontal="left" vertical="center"/>
    </xf>
    <xf numFmtId="0" fontId="5" fillId="5" borderId="3" applyAlignment="1" pivotButton="0" quotePrefix="0" xfId="0">
      <alignment horizontal="left" vertical="center"/>
    </xf>
    <xf numFmtId="0" fontId="13" fillId="0" borderId="5" applyAlignment="1" pivotButton="0" quotePrefix="0" xfId="0">
      <alignment horizontal="left"/>
    </xf>
    <xf numFmtId="0" fontId="24" fillId="3" borderId="1" applyAlignment="1" pivotButton="0" quotePrefix="0" xfId="0">
      <alignment horizontal="left"/>
    </xf>
    <xf numFmtId="0" fontId="13" fillId="0" borderId="10" applyAlignment="1" pivotButton="0" quotePrefix="0" xfId="0">
      <alignment horizontal="left"/>
    </xf>
    <xf numFmtId="0" fontId="25" fillId="3" borderId="1" applyAlignment="1" pivotButton="0" quotePrefix="0" xfId="0">
      <alignment horizontal="left"/>
    </xf>
    <xf numFmtId="0" fontId="1" fillId="0" borderId="11" pivotButton="0" quotePrefix="0" xfId="0"/>
    <xf numFmtId="0" fontId="24" fillId="3" borderId="3" applyAlignment="1" pivotButton="0" quotePrefix="0" xfId="0">
      <alignment horizontal="left"/>
    </xf>
    <xf numFmtId="0" fontId="24" fillId="3" borderId="7" applyAlignment="1" pivotButton="0" quotePrefix="0" xfId="0">
      <alignment horizontal="left"/>
    </xf>
    <xf numFmtId="0" fontId="1" fillId="0" borderId="18" pivotButton="0" quotePrefix="0" xfId="0"/>
    <xf numFmtId="165" fontId="24" fillId="3" borderId="1" applyAlignment="1" pivotButton="0" quotePrefix="0" xfId="0">
      <alignment horizontal="left"/>
    </xf>
    <xf numFmtId="0" fontId="13" fillId="0" borderId="12" applyAlignment="1" pivotButton="0" quotePrefix="0" xfId="0">
      <alignment horizontal="left"/>
    </xf>
    <xf numFmtId="0" fontId="1" fillId="0" borderId="20" pivotButton="0" quotePrefix="0" xfId="0"/>
    <xf numFmtId="0" fontId="24" fillId="3" borderId="30" applyAlignment="1" pivotButton="0" quotePrefix="0" xfId="0">
      <alignment horizontal="left"/>
    </xf>
    <xf numFmtId="0" fontId="24" fillId="3" borderId="2" applyAlignment="1" pivotButton="0" quotePrefix="0" xfId="0">
      <alignment horizontal="left"/>
    </xf>
    <xf numFmtId="0" fontId="26" fillId="3" borderId="2" applyAlignment="1" pivotButton="0" quotePrefix="0" xfId="0">
      <alignment horizontal="left"/>
    </xf>
    <xf numFmtId="0" fontId="4" fillId="5" borderId="15" applyAlignment="1" pivotButton="0" quotePrefix="0" xfId="0">
      <alignment horizontal="left" vertical="center"/>
    </xf>
    <xf numFmtId="0" fontId="23" fillId="5" borderId="8" applyAlignment="1" pivotButton="0" quotePrefix="0" xfId="0">
      <alignment horizontal="left" vertical="center"/>
    </xf>
    <xf numFmtId="0" fontId="5" fillId="5" borderId="8" applyAlignment="1" pivotButton="0" quotePrefix="0" xfId="0">
      <alignment horizontal="left" vertical="center"/>
    </xf>
    <xf numFmtId="167" fontId="24" fillId="3" borderId="1" applyAlignment="1" pivotButton="0" quotePrefix="0" xfId="0">
      <alignment horizontal="left"/>
    </xf>
    <xf numFmtId="167" fontId="24" fillId="3" borderId="30" applyAlignment="1" pivotButton="0" quotePrefix="0" xfId="0">
      <alignment horizontal="left"/>
    </xf>
    <xf numFmtId="10" fontId="17" fillId="0" borderId="13" pivotButton="0" quotePrefix="0" xfId="0"/>
    <xf numFmtId="0" fontId="13" fillId="0" borderId="13" pivotButton="0" quotePrefix="0" xfId="0"/>
    <xf numFmtId="0" fontId="9" fillId="0" borderId="13" applyAlignment="1" pivotButton="0" quotePrefix="0" xfId="0">
      <alignment horizontal="left"/>
    </xf>
    <xf numFmtId="0" fontId="9" fillId="0" borderId="13" pivotButton="0" quotePrefix="0" xfId="0"/>
    <xf numFmtId="168" fontId="13" fillId="0" borderId="13" pivotButton="0" quotePrefix="0" xfId="0"/>
    <xf numFmtId="0" fontId="9" fillId="0" borderId="0" pivotButton="0" quotePrefix="0" xfId="0"/>
    <xf numFmtId="168" fontId="13" fillId="0" borderId="0" pivotButton="0" quotePrefix="0" xfId="0"/>
    <xf numFmtId="0" fontId="13" fillId="0" borderId="31" pivotButton="0" quotePrefix="0" xfId="0"/>
    <xf numFmtId="169" fontId="13" fillId="0" borderId="32" applyAlignment="1" pivotButton="0" quotePrefix="0" xfId="0">
      <alignment horizontal="left"/>
    </xf>
    <xf numFmtId="0" fontId="9" fillId="0" borderId="32" pivotButton="0" quotePrefix="0" xfId="0"/>
    <xf numFmtId="168" fontId="13" fillId="0" borderId="33" pivotButton="0" quotePrefix="0" xfId="0"/>
    <xf numFmtId="0" fontId="9" fillId="2" borderId="2" pivotButton="0" quotePrefix="0" xfId="0"/>
    <xf numFmtId="0" fontId="9" fillId="2" borderId="2" applyAlignment="1" pivotButton="0" quotePrefix="0" xfId="0">
      <alignment horizontal="left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9" fillId="0" borderId="10" pivotButton="0" quotePrefix="0" xfId="0"/>
    <xf numFmtId="166" fontId="16" fillId="3" borderId="7" applyAlignment="1" pivotButton="0" quotePrefix="0" xfId="0">
      <alignment horizontal="left"/>
    </xf>
    <xf numFmtId="165" fontId="9" fillId="0" borderId="19" pivotButton="0" quotePrefix="0" xfId="0"/>
    <xf numFmtId="170" fontId="9" fillId="0" borderId="0" applyAlignment="1" pivotButton="0" quotePrefix="0" xfId="0">
      <alignment horizontal="left"/>
    </xf>
    <xf numFmtId="10" fontId="16" fillId="3" borderId="1" applyAlignment="1" pivotButton="0" quotePrefix="0" xfId="0">
      <alignment horizontal="left"/>
    </xf>
    <xf numFmtId="171" fontId="9" fillId="0" borderId="0" pivotButton="0" quotePrefix="0" xfId="0"/>
    <xf numFmtId="0" fontId="13" fillId="13" borderId="35" applyAlignment="1" pivotButton="0" quotePrefix="0" xfId="0">
      <alignment vertical="center"/>
    </xf>
    <xf numFmtId="170" fontId="13" fillId="13" borderId="36" applyAlignment="1" pivotButton="0" quotePrefix="0" xfId="0">
      <alignment horizontal="left" vertical="center"/>
    </xf>
    <xf numFmtId="166" fontId="13" fillId="13" borderId="36" applyAlignment="1" pivotButton="0" quotePrefix="0" xfId="0">
      <alignment vertical="center"/>
    </xf>
    <xf numFmtId="0" fontId="15" fillId="0" borderId="0" applyAlignment="1" pivotButton="0" quotePrefix="0" xfId="0">
      <alignment horizontal="left"/>
    </xf>
    <xf numFmtId="0" fontId="21" fillId="4" borderId="16" applyAlignment="1" pivotButton="0" quotePrefix="0" xfId="0">
      <alignment horizontal="left" vertical="center"/>
    </xf>
    <xf numFmtId="0" fontId="5" fillId="4" borderId="37" applyAlignment="1" pivotButton="0" quotePrefix="0" xfId="0">
      <alignment horizontal="left" vertical="center"/>
    </xf>
    <xf numFmtId="0" fontId="6" fillId="4" borderId="16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27" fillId="0" borderId="0" pivotButton="0" quotePrefix="0" xfId="0"/>
    <xf numFmtId="0" fontId="28" fillId="14" borderId="34" applyAlignment="1" pivotButton="0" quotePrefix="0" xfId="0">
      <alignment horizontal="center" vertical="center" wrapText="1"/>
    </xf>
    <xf numFmtId="166" fontId="18" fillId="3" borderId="38" applyAlignment="1" pivotButton="0" quotePrefix="0" xfId="0">
      <alignment horizontal="center"/>
    </xf>
    <xf numFmtId="164" fontId="18" fillId="3" borderId="38" applyAlignment="1" pivotButton="0" quotePrefix="0" xfId="0">
      <alignment horizontal="right"/>
    </xf>
    <xf numFmtId="166" fontId="18" fillId="3" borderId="10" applyAlignment="1" pivotButton="0" quotePrefix="0" xfId="0">
      <alignment horizontal="center"/>
    </xf>
    <xf numFmtId="0" fontId="29" fillId="13" borderId="39" applyAlignment="1" pivotButton="0" quotePrefix="0" xfId="0">
      <alignment horizontal="center"/>
    </xf>
    <xf numFmtId="0" fontId="29" fillId="13" borderId="40" applyAlignment="1" pivotButton="0" quotePrefix="0" xfId="0">
      <alignment horizontal="center"/>
    </xf>
    <xf numFmtId="4" fontId="29" fillId="13" borderId="40" applyAlignment="1" pivotButton="0" quotePrefix="0" xfId="0">
      <alignment horizontal="center"/>
    </xf>
    <xf numFmtId="167" fontId="29" fillId="13" borderId="40" applyAlignment="1" pivotButton="0" quotePrefix="0" xfId="0">
      <alignment horizontal="center"/>
    </xf>
    <xf numFmtId="0" fontId="29" fillId="13" borderId="32" applyAlignment="1" pivotButton="0" quotePrefix="0" xfId="0">
      <alignment horizontal="center"/>
    </xf>
    <xf numFmtId="0" fontId="1" fillId="6" borderId="14" pivotButton="0" quotePrefix="0" xfId="0"/>
    <xf numFmtId="0" fontId="1" fillId="6" borderId="18" pivotButton="0" quotePrefix="0" xfId="0"/>
    <xf numFmtId="0" fontId="9" fillId="0" borderId="10" applyAlignment="1" pivotButton="0" quotePrefix="0" xfId="0">
      <alignment horizontal="left"/>
    </xf>
    <xf numFmtId="0" fontId="5" fillId="6" borderId="0" applyAlignment="1" pivotButton="0" quotePrefix="0" xfId="0">
      <alignment horizontal="left" vertical="center"/>
    </xf>
    <xf numFmtId="0" fontId="5" fillId="6" borderId="11" applyAlignment="1" pivotButton="0" quotePrefix="0" xfId="0">
      <alignment horizontal="left" vertical="center"/>
    </xf>
    <xf numFmtId="0" fontId="1" fillId="6" borderId="0" pivotButton="0" quotePrefix="0" xfId="0"/>
    <xf numFmtId="0" fontId="1" fillId="6" borderId="11" pivotButton="0" quotePrefix="0" xfId="0"/>
    <xf numFmtId="0" fontId="17" fillId="0" borderId="10" pivotButton="0" quotePrefix="0" xfId="0"/>
    <xf numFmtId="0" fontId="31" fillId="6" borderId="11" pivotButton="0" quotePrefix="0" xfId="0"/>
    <xf numFmtId="165" fontId="32" fillId="6" borderId="13" applyAlignment="1" pivotButton="0" quotePrefix="0" xfId="0">
      <alignment horizontal="left"/>
    </xf>
    <xf numFmtId="0" fontId="17" fillId="6" borderId="13" pivotButton="0" quotePrefix="0" xfId="0"/>
    <xf numFmtId="0" fontId="1" fillId="6" borderId="20" pivotButton="0" quotePrefix="0" xfId="0"/>
    <xf numFmtId="0" fontId="1" fillId="2" borderId="21" pivotButton="0" quotePrefix="0" xfId="0"/>
    <xf numFmtId="165" fontId="17" fillId="0" borderId="13" applyAlignment="1" pivotButton="0" quotePrefix="0" xfId="0">
      <alignment horizontal="left"/>
    </xf>
    <xf numFmtId="0" fontId="5" fillId="5" borderId="14" applyAlignment="1" pivotButton="0" quotePrefix="0" xfId="0">
      <alignment horizontal="left" vertical="center"/>
    </xf>
    <xf numFmtId="0" fontId="5" fillId="5" borderId="18" applyAlignment="1" pivotButton="0" quotePrefix="0" xfId="0">
      <alignment horizontal="left" vertical="center"/>
    </xf>
    <xf numFmtId="165" fontId="9" fillId="6" borderId="0" applyAlignment="1" pivotButton="0" quotePrefix="0" xfId="0">
      <alignment horizontal="left"/>
    </xf>
    <xf numFmtId="0" fontId="17" fillId="0" borderId="12" pivotButton="0" quotePrefix="0" xfId="0"/>
    <xf numFmtId="172" fontId="0" fillId="0" borderId="0" pivotButton="0" quotePrefix="0" xfId="1"/>
    <xf numFmtId="165" fontId="32" fillId="6" borderId="23" applyAlignment="1" pivotButton="0" quotePrefix="0" xfId="0">
      <alignment horizontal="left"/>
    </xf>
    <xf numFmtId="10" fontId="30" fillId="0" borderId="23" applyAlignment="1" pivotButton="0" quotePrefix="0" xfId="0">
      <alignment horizontal="left"/>
    </xf>
    <xf numFmtId="0" fontId="32" fillId="6" borderId="23" applyAlignment="1" pivotButton="0" quotePrefix="0" xfId="1">
      <alignment horizontal="left"/>
    </xf>
    <xf numFmtId="0" fontId="20" fillId="6" borderId="27" pivotButton="0" quotePrefix="0" xfId="0"/>
    <xf numFmtId="0" fontId="19" fillId="0" borderId="28" pivotButton="0" quotePrefix="0" xfId="0"/>
    <xf numFmtId="0" fontId="19" fillId="0" borderId="29" pivotButton="0" quotePrefix="0" xfId="0"/>
    <xf numFmtId="0" fontId="10" fillId="7" borderId="0" applyAlignment="1" pivotButton="0" quotePrefix="0" xfId="0">
      <alignment horizontal="center"/>
    </xf>
    <xf numFmtId="0" fontId="0" fillId="0" borderId="0" pivotButton="0" quotePrefix="0" xfId="0"/>
    <xf numFmtId="173" fontId="29" fillId="13" borderId="40" applyAlignment="1" pivotButton="0" quotePrefix="0" xfId="0">
      <alignment horizontal="center"/>
    </xf>
    <xf numFmtId="0" fontId="1" fillId="2" borderId="41" pivotButton="0" quotePrefix="0" xfId="0"/>
    <xf numFmtId="165" fontId="5" fillId="4" borderId="42" applyAlignment="1" pivotButton="0" quotePrefix="0" xfId="0">
      <alignment horizontal="left" vertical="center"/>
    </xf>
    <xf numFmtId="14" fontId="5" fillId="4" borderId="41" applyAlignment="1" pivotButton="0" quotePrefix="0" xfId="0">
      <alignment horizontal="left" vertical="center"/>
    </xf>
    <xf numFmtId="0" fontId="5" fillId="5" borderId="41" applyAlignment="1" pivotButton="0" quotePrefix="0" xfId="0">
      <alignment horizontal="left" vertical="center"/>
    </xf>
    <xf numFmtId="0" fontId="28" fillId="14" borderId="43" applyAlignment="1" pivotButton="0" quotePrefix="0" xfId="0">
      <alignment horizontal="center" vertical="center" wrapText="1"/>
    </xf>
    <xf numFmtId="165" fontId="1" fillId="0" borderId="44" applyAlignment="1" pivotButton="0" quotePrefix="0" xfId="0">
      <alignment horizontal="center"/>
    </xf>
    <xf numFmtId="165" fontId="29" fillId="13" borderId="45" applyAlignment="1" pivotButton="0" quotePrefix="0" xfId="0">
      <alignment horizontal="center"/>
    </xf>
    <xf numFmtId="0" fontId="1" fillId="0" borderId="41" pivotButton="0" quotePrefix="0" xfId="0"/>
    <xf numFmtId="0" fontId="0" fillId="0" borderId="41" pivotButton="0" quotePrefix="0" xfId="0"/>
    <xf numFmtId="0" fontId="18" fillId="15" borderId="38" applyAlignment="1" pivotButton="0" quotePrefix="0" xfId="0">
      <alignment horizontal="center"/>
    </xf>
    <xf numFmtId="0" fontId="18" fillId="15" borderId="38" pivotButton="0" quotePrefix="0" xfId="0"/>
    <xf numFmtId="4" fontId="18" fillId="15" borderId="38" applyAlignment="1" pivotButton="0" quotePrefix="0" xfId="0">
      <alignment horizontal="center"/>
    </xf>
    <xf numFmtId="167" fontId="18" fillId="15" borderId="38" applyAlignment="1" pivotButton="0" quotePrefix="0" xfId="0">
      <alignment horizontal="center"/>
    </xf>
    <xf numFmtId="0" fontId="20" fillId="6" borderId="46" pivotButton="0" quotePrefix="0" xfId="0"/>
    <xf numFmtId="0" fontId="0" fillId="0" borderId="28" pivotButton="0" quotePrefix="0" xfId="0"/>
    <xf numFmtId="0" fontId="0" fillId="0" borderId="29" pivotButton="0" quotePrefix="0" xfId="0"/>
    <xf numFmtId="0" fontId="33" fillId="3" borderId="1" applyAlignment="1" pivotButton="0" quotePrefix="0" xfId="0">
      <alignment horizontal="left"/>
    </xf>
    <xf numFmtId="0" fontId="33" fillId="3" borderId="3" applyAlignment="1" pivotButton="0" quotePrefix="0" xfId="0">
      <alignment horizontal="left"/>
    </xf>
    <xf numFmtId="0" fontId="33" fillId="3" borderId="7" applyAlignment="1" pivotButton="0" quotePrefix="0" xfId="0">
      <alignment horizontal="left"/>
    </xf>
    <xf numFmtId="172" fontId="0" fillId="0" borderId="0" pivotButton="0" quotePrefix="0" xfId="1"/>
    <xf numFmtId="0" fontId="33" fillId="3" borderId="30" applyAlignment="1" pivotButton="0" quotePrefix="0" xfId="0">
      <alignment horizontal="left"/>
    </xf>
    <xf numFmtId="167" fontId="33" fillId="3" borderId="1" applyAlignment="1" pivotButton="0" quotePrefix="0" xfId="0">
      <alignment horizontal="left"/>
    </xf>
    <xf numFmtId="167" fontId="24" fillId="3" borderId="30" applyAlignment="1" pivotButton="0" quotePrefix="0" xfId="0">
      <alignment horizontal="left"/>
    </xf>
    <xf numFmtId="167" fontId="24" fillId="3" borderId="1" applyAlignment="1" pivotButton="0" quotePrefix="0" xfId="0">
      <alignment horizontal="left"/>
    </xf>
    <xf numFmtId="168" fontId="13" fillId="0" borderId="13" pivotButton="0" quotePrefix="0" xfId="0"/>
    <xf numFmtId="168" fontId="13" fillId="0" borderId="0" pivotButton="0" quotePrefix="0" xfId="0"/>
    <xf numFmtId="169" fontId="13" fillId="0" borderId="32" applyAlignment="1" pivotButton="0" quotePrefix="0" xfId="0">
      <alignment horizontal="left"/>
    </xf>
    <xf numFmtId="168" fontId="13" fillId="0" borderId="33" pivotButton="0" quotePrefix="0" xfId="0"/>
    <xf numFmtId="166" fontId="33" fillId="3" borderId="7" applyAlignment="1" pivotButton="0" quotePrefix="0" xfId="0">
      <alignment horizontal="left"/>
    </xf>
    <xf numFmtId="170" fontId="9" fillId="0" borderId="0" applyAlignment="1" pivotButton="0" quotePrefix="0" xfId="0">
      <alignment horizontal="left"/>
    </xf>
    <xf numFmtId="170" fontId="13" fillId="13" borderId="36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0" fontId="10" fillId="7" borderId="23" applyAlignment="1" pivotButton="0" quotePrefix="0" xfId="0">
      <alignment horizontal="center"/>
    </xf>
    <xf numFmtId="0" fontId="33" fillId="15" borderId="38" pivotButton="0" quotePrefix="0" xfId="0"/>
    <xf numFmtId="164" fontId="33" fillId="3" borderId="38" applyAlignment="1" pivotButton="0" quotePrefix="0" xfId="0">
      <alignment horizontal="right"/>
    </xf>
    <xf numFmtId="167" fontId="18" fillId="15" borderId="38" applyAlignment="1" pivotButton="0" quotePrefix="0" xfId="0">
      <alignment horizontal="center"/>
    </xf>
    <xf numFmtId="167" fontId="33" fillId="13" borderId="40" applyAlignment="1" pivotButton="0" quotePrefix="0" xfId="0">
      <alignment horizontal="center"/>
    </xf>
    <xf numFmtId="173" fontId="29" fillId="13" borderId="40" applyAlignment="1" pivotButton="0" quotePrefix="0" xfId="0">
      <alignment horizontal="center"/>
    </xf>
    <xf numFmtId="10" fontId="33" fillId="0" borderId="23" applyAlignment="1" pivotButton="0" quotePrefix="0" xfId="0">
      <alignment horizontal="left"/>
    </xf>
    <xf numFmtId="0" fontId="33" fillId="2" borderId="0" pivotButton="0" quotePrefix="0" xfId="0"/>
    <xf numFmtId="0" fontId="33" fillId="0" borderId="0" pivotButton="0" quotePrefix="0" xfId="0"/>
  </cellXfs>
  <cellStyles count="2">
    <cellStyle name="Standard" xfId="0" builtinId="0"/>
    <cellStyle name="Währung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I38"/>
  <sheetViews>
    <sheetView showGridLines="0"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30" sqref="C30"/>
    </sheetView>
  </sheetViews>
  <sheetFormatPr baseColWidth="10" defaultColWidth="12.59765625" defaultRowHeight="15" customHeight="1"/>
  <cols>
    <col width="1.59765625" customWidth="1" style="150" min="1" max="1"/>
    <col width="58" customWidth="1" style="150" min="2" max="2"/>
    <col width="17.46484375" customWidth="1" style="150" min="3" max="3"/>
    <col hidden="1" width="17.46484375" customWidth="1" style="150" min="4" max="5"/>
    <col width="6.73046875" customWidth="1" style="150" min="6" max="6"/>
    <col width="19.1328125" customWidth="1" style="150" min="8" max="8"/>
  </cols>
  <sheetData>
    <row r="1" ht="12.75" customHeight="1" s="150">
      <c r="A1" s="1" t="inlineStr">
        <is>
          <t xml:space="preserve"> </t>
        </is>
      </c>
      <c r="B1" s="1" t="n"/>
      <c r="C1" s="1" t="n"/>
      <c r="D1" s="1" t="n"/>
      <c r="E1" s="1" t="n"/>
      <c r="F1" s="1" t="n"/>
    </row>
    <row r="2" ht="12.75" customHeight="1" s="150">
      <c r="A2" s="1" t="n"/>
      <c r="B2" s="2" t="inlineStr">
        <is>
          <t>Annahmen Feld</t>
        </is>
      </c>
      <c r="C2" s="1" t="n"/>
      <c r="D2" s="1" t="n"/>
      <c r="E2" s="1" t="n"/>
      <c r="F2" s="1" t="n"/>
    </row>
    <row r="3" ht="12.75" customHeight="1" s="150">
      <c r="A3" s="1" t="n"/>
      <c r="B3" s="3" t="n"/>
      <c r="C3" s="3" t="n"/>
      <c r="D3" s="3" t="n"/>
      <c r="E3" s="3" t="n"/>
      <c r="F3" s="1" t="n"/>
    </row>
    <row r="4" ht="43.5" customHeight="1" s="150">
      <c r="A4" s="1" t="n"/>
      <c r="B4" s="4" t="inlineStr">
        <is>
          <t>Business Case</t>
        </is>
      </c>
      <c r="C4" s="5" t="n"/>
      <c r="D4" s="6" t="n"/>
      <c r="E4" s="6" t="n"/>
      <c r="F4" s="1" t="n"/>
    </row>
    <row r="5">
      <c r="A5" s="1" t="n"/>
      <c r="B5" s="7" t="n"/>
      <c r="C5" s="8" t="n"/>
      <c r="D5" s="9" t="inlineStr">
        <is>
          <t>Stand</t>
        </is>
      </c>
      <c r="E5" s="9" t="inlineStr">
        <is>
          <t>06.10.2025</t>
        </is>
      </c>
      <c r="F5" s="1" t="n"/>
    </row>
    <row r="6">
      <c r="A6" s="10" t="n"/>
      <c r="B6" s="11" t="inlineStr">
        <is>
          <t>Verkaufserlöse</t>
        </is>
      </c>
      <c r="C6" s="12" t="n"/>
      <c r="D6" s="13" t="n"/>
      <c r="E6" s="14" t="n"/>
      <c r="F6" s="15" t="n"/>
    </row>
    <row r="7" ht="17.65" customHeight="1" s="150">
      <c r="A7" s="10" t="n"/>
      <c r="B7" s="16" t="n"/>
      <c r="C7" s="149" t="inlineStr">
        <is>
          <t>Base Case</t>
        </is>
      </c>
      <c r="D7" s="18" t="inlineStr">
        <is>
          <t>Best Case</t>
        </is>
      </c>
      <c r="E7" s="19" t="inlineStr">
        <is>
          <t>Worst Case</t>
        </is>
      </c>
      <c r="F7" s="15" t="n"/>
    </row>
    <row r="8" ht="13.9" customHeight="1" s="150">
      <c r="A8" s="10" t="n"/>
      <c r="B8" s="20" t="inlineStr">
        <is>
          <t>Abgabepreis/ qm</t>
        </is>
      </c>
      <c r="C8" s="21">
        <f>'INPUT_Verkaufseinschätzung Mark'!G24</f>
        <v/>
      </c>
      <c r="D8" s="22">
        <f>'INPUT_Verkaufseinschätzung Mark'!#REF!</f>
        <v/>
      </c>
      <c r="E8" s="23">
        <f>'INPUT_Verkaufseinschätzung Mark'!#REF!</f>
        <v/>
      </c>
      <c r="F8" s="15" t="n"/>
    </row>
    <row r="9" ht="13.5" customHeight="1" s="150">
      <c r="A9" s="10" t="n"/>
      <c r="B9" s="16" t="n"/>
      <c r="C9" s="24" t="n"/>
      <c r="D9" s="24" t="n"/>
      <c r="E9" s="24" t="n"/>
      <c r="F9" s="15" t="n"/>
    </row>
    <row r="10" ht="13.5" customHeight="1" s="150">
      <c r="A10" s="10" t="n"/>
      <c r="B10" s="16" t="inlineStr">
        <is>
          <t>Verkaufserlös ingesamt</t>
        </is>
      </c>
      <c r="C10" s="24">
        <f>Verkaufserlöse_BaseCase</f>
        <v/>
      </c>
      <c r="D10" s="24">
        <f>Verkaufserlöse_BestCase</f>
        <v/>
      </c>
      <c r="E10" s="25">
        <f>Verkaufserlöse_WorstCase</f>
        <v/>
      </c>
      <c r="F10" s="15" t="n"/>
    </row>
    <row r="11" ht="13.9" customHeight="1" s="150">
      <c r="A11" s="10" t="n"/>
      <c r="B11" s="27" t="inlineStr">
        <is>
          <t>Gesamt Einnahmen</t>
        </is>
      </c>
      <c r="C11" s="28">
        <f>SUM(C10:C10)</f>
        <v/>
      </c>
      <c r="D11" s="28">
        <f>SUM(D10:D10)</f>
        <v/>
      </c>
      <c r="E11" s="28">
        <f>SUM(E10:E10)</f>
        <v/>
      </c>
      <c r="F11" s="15" t="n"/>
    </row>
    <row r="12" ht="13.5" customHeight="1" s="150">
      <c r="A12" s="10" t="n"/>
      <c r="B12" s="29" t="n"/>
      <c r="C12" s="24" t="n"/>
      <c r="D12" s="24" t="n"/>
      <c r="E12" s="24" t="n"/>
      <c r="F12" s="15" t="n"/>
    </row>
    <row r="13" ht="13.5" customHeight="1" s="150">
      <c r="A13" s="10" t="n"/>
      <c r="B13" s="29">
        <f>INPUT_Stammdaten!B45</f>
        <v/>
      </c>
      <c r="C13" s="24">
        <f>INPUT_Stammdaten!$C$45</f>
        <v/>
      </c>
      <c r="D13" s="24">
        <f>INPUT_Stammdaten!$C$45</f>
        <v/>
      </c>
      <c r="E13" s="24">
        <f>INPUT_Stammdaten!$C$45</f>
        <v/>
      </c>
      <c r="F13" s="15" t="n"/>
    </row>
    <row r="14" ht="13.5" customHeight="1" s="150">
      <c r="A14" s="10" t="n"/>
      <c r="B14" s="30">
        <f>INPUT_Stammdaten!B46</f>
        <v/>
      </c>
      <c r="C14" s="31">
        <f>INPUT_Stammdaten!$C$46</f>
        <v/>
      </c>
      <c r="D14" s="31">
        <f>INPUT_Stammdaten!$C$46</f>
        <v/>
      </c>
      <c r="E14" s="31">
        <f>INPUT_Stammdaten!$C$46</f>
        <v/>
      </c>
      <c r="F14" s="15" t="n"/>
    </row>
    <row r="15" ht="13.5" customHeight="1" s="150">
      <c r="A15" s="10" t="n"/>
      <c r="B15" s="30">
        <f>INPUT_Stammdaten!B47</f>
        <v/>
      </c>
      <c r="C15" s="31">
        <f>INPUT_Stammdaten!$C$47</f>
        <v/>
      </c>
      <c r="D15" s="31">
        <f>INPUT_Stammdaten!$C$47</f>
        <v/>
      </c>
      <c r="E15" s="31">
        <f>INPUT_Stammdaten!$C$47</f>
        <v/>
      </c>
      <c r="F15" s="15" t="n"/>
      <c r="H15" s="32" t="n"/>
      <c r="I15" s="33" t="n"/>
    </row>
    <row r="16" ht="13.5" customHeight="1" s="150">
      <c r="A16" s="10" t="n"/>
      <c r="B16" s="30">
        <f>INPUT_Stammdaten!B48</f>
        <v/>
      </c>
      <c r="C16" s="31">
        <f>INPUT_Stammdaten!$C$48</f>
        <v/>
      </c>
      <c r="D16" s="31">
        <f>INPUT_Stammdaten!$C$48</f>
        <v/>
      </c>
      <c r="E16" s="31">
        <f>INPUT_Stammdaten!$C$48</f>
        <v/>
      </c>
      <c r="F16" s="15" t="n"/>
    </row>
    <row r="17" ht="13.5" customHeight="1" s="150">
      <c r="A17" s="10" t="n"/>
      <c r="B17" s="30">
        <f>INPUT_Stammdaten!B49</f>
        <v/>
      </c>
      <c r="C17" s="31">
        <f>INPUT_Stammdaten!$C$49</f>
        <v/>
      </c>
      <c r="D17" s="31">
        <f>INPUT_Stammdaten!$C$49</f>
        <v/>
      </c>
      <c r="E17" s="31">
        <f>INPUT_Stammdaten!$C$49</f>
        <v/>
      </c>
      <c r="F17" s="15" t="n"/>
    </row>
    <row r="18" ht="13.5" customHeight="1" s="150">
      <c r="A18" s="10" t="n"/>
      <c r="B18" s="30">
        <f>INPUT_Stammdaten!B50</f>
        <v/>
      </c>
      <c r="C18" s="31">
        <f>INPUT_Stammdaten!$C$50</f>
        <v/>
      </c>
      <c r="D18" s="31">
        <f>INPUT_Stammdaten!$C$50</f>
        <v/>
      </c>
      <c r="E18" s="31">
        <f>INPUT_Stammdaten!$C$50</f>
        <v/>
      </c>
      <c r="F18" s="15" t="n"/>
    </row>
    <row r="19" ht="13.5" customHeight="1" s="150">
      <c r="A19" s="10" t="n"/>
      <c r="B19" s="16" t="inlineStr">
        <is>
          <t>Finanzierungskosten Bank</t>
        </is>
      </c>
      <c r="C19" s="24">
        <f>Zinskosten_Bank</f>
        <v/>
      </c>
      <c r="D19" s="24">
        <f>Zinskosten_Bank</f>
        <v/>
      </c>
      <c r="E19" s="24">
        <f>Zinskosten_Bank</f>
        <v/>
      </c>
      <c r="F19" s="15" t="n"/>
    </row>
    <row r="20" ht="13.9" customHeight="1" s="150">
      <c r="A20" s="10" t="n"/>
      <c r="B20" s="34" t="inlineStr">
        <is>
          <t>Gesamtkosten (inkl. Finanzierungskosten)</t>
        </is>
      </c>
      <c r="C20" s="35">
        <f>SUM(C13:C19)</f>
        <v/>
      </c>
      <c r="D20" s="35">
        <f>SUM(D13:D19)</f>
        <v/>
      </c>
      <c r="E20" s="35">
        <f>SUM(E13:E19)</f>
        <v/>
      </c>
      <c r="F20" s="15" t="n"/>
    </row>
    <row r="21" ht="13.9" customHeight="1" s="150">
      <c r="A21" s="10" t="n"/>
      <c r="B21" s="36" t="n"/>
      <c r="C21" s="37" t="n"/>
      <c r="D21" s="38" t="n"/>
      <c r="E21" s="38" t="n"/>
      <c r="F21" s="15" t="n"/>
    </row>
    <row r="22" ht="13.9" customHeight="1" s="150">
      <c r="A22" s="10" t="n"/>
      <c r="B22" s="36" t="n"/>
      <c r="C22" s="37" t="n"/>
      <c r="D22" s="38" t="n"/>
      <c r="E22" s="38" t="n"/>
      <c r="F22" s="15" t="n"/>
    </row>
    <row r="23" ht="13.9" customHeight="1" s="150">
      <c r="A23" s="10" t="n"/>
      <c r="B23" s="39" t="inlineStr">
        <is>
          <t>Projektgewinn (vor Steuern)</t>
        </is>
      </c>
      <c r="C23" s="40">
        <f>C11-C20</f>
        <v/>
      </c>
      <c r="D23" s="40">
        <f>D11-D20</f>
        <v/>
      </c>
      <c r="E23" s="40">
        <f>E11-E20</f>
        <v/>
      </c>
      <c r="F23" s="15" t="n"/>
      <c r="H23" s="41" t="n"/>
      <c r="I23" s="32" t="n"/>
    </row>
    <row r="24" ht="12.75" customHeight="1" s="150">
      <c r="A24" s="10" t="n"/>
      <c r="B24" s="26" t="inlineStr">
        <is>
          <t>Marge ( in %)</t>
        </is>
      </c>
      <c r="C24" s="42">
        <f>C23/C20</f>
        <v/>
      </c>
      <c r="D24" s="42">
        <f>D23/D20</f>
        <v/>
      </c>
      <c r="E24" s="42">
        <f>E23/E20</f>
        <v/>
      </c>
      <c r="F24" s="15" t="n"/>
    </row>
    <row r="25" ht="12.75" customHeight="1" s="150">
      <c r="A25" s="1" t="n"/>
      <c r="B25" s="3" t="n"/>
      <c r="C25" s="3" t="n"/>
      <c r="D25" s="3" t="n"/>
      <c r="E25" s="3" t="n"/>
      <c r="F25" s="1" t="n"/>
    </row>
    <row r="26" ht="12.75" customHeight="1" s="150">
      <c r="A26" s="1" t="n"/>
      <c r="B26" s="1" t="n"/>
      <c r="C26" s="1" t="n"/>
      <c r="D26" s="1" t="n"/>
      <c r="E26" s="1" t="n"/>
      <c r="F26" s="1" t="n"/>
    </row>
    <row r="27" ht="12.75" customHeight="1" s="150">
      <c r="A27" s="1" t="n"/>
      <c r="B27" s="1" t="n"/>
      <c r="C27" s="1" t="n"/>
      <c r="D27" s="1" t="n"/>
      <c r="E27" s="1" t="n"/>
      <c r="F27" s="1" t="n"/>
    </row>
    <row r="28" ht="12.75" customHeight="1" s="150">
      <c r="A28" s="1" t="n"/>
      <c r="B28" s="1" t="n"/>
      <c r="C28" s="1" t="n"/>
      <c r="D28" s="1" t="n"/>
      <c r="E28" s="1" t="n"/>
      <c r="F28" s="1" t="n"/>
    </row>
    <row r="29" ht="12.75" customHeight="1" s="150">
      <c r="A29" s="1" t="n"/>
      <c r="B29" s="1" t="n"/>
      <c r="C29" s="1" t="n"/>
      <c r="D29" s="1" t="n"/>
      <c r="E29" s="1" t="n"/>
      <c r="F29" s="1" t="n"/>
    </row>
    <row r="30" ht="12.75" customHeight="1" s="150">
      <c r="A30" s="1" t="n"/>
      <c r="B30" s="1" t="n"/>
      <c r="C30" s="1" t="n"/>
      <c r="D30" s="1" t="n"/>
      <c r="E30" s="1" t="n"/>
      <c r="F30" s="1" t="n"/>
    </row>
    <row r="31" ht="12.75" customHeight="1" s="150">
      <c r="A31" s="1" t="n"/>
      <c r="B31" s="1" t="n"/>
      <c r="C31" s="1" t="n"/>
      <c r="D31" s="1" t="n"/>
      <c r="E31" s="1" t="n"/>
      <c r="F31" s="1" t="n"/>
    </row>
    <row r="32" ht="12.75" customHeight="1" s="150">
      <c r="A32" s="1" t="n"/>
      <c r="B32" s="1" t="n"/>
      <c r="C32" s="1" t="n"/>
      <c r="D32" s="1" t="n"/>
      <c r="E32" s="1" t="n"/>
      <c r="F32" s="1" t="n"/>
    </row>
    <row r="33" ht="12.75" customHeight="1" s="150">
      <c r="A33" s="1" t="n"/>
      <c r="B33" s="1" t="n"/>
      <c r="C33" s="1" t="n"/>
      <c r="D33" s="1" t="n"/>
      <c r="E33" s="1" t="n"/>
      <c r="F33" s="1" t="n"/>
    </row>
    <row r="34" ht="12.75" customHeight="1" s="150">
      <c r="A34" s="1" t="n"/>
      <c r="B34" s="1" t="n"/>
      <c r="C34" s="1" t="n"/>
      <c r="D34" s="1" t="n"/>
      <c r="E34" s="1" t="n"/>
      <c r="F34" s="1" t="n"/>
    </row>
    <row r="35" ht="12.75" customHeight="1" s="150">
      <c r="A35" s="1" t="n"/>
      <c r="B35" s="1" t="n"/>
      <c r="C35" s="1" t="n"/>
      <c r="D35" s="1" t="n"/>
      <c r="E35" s="1" t="n"/>
      <c r="F35" s="1" t="n"/>
    </row>
    <row r="36" ht="12.75" customHeight="1" s="150">
      <c r="A36" s="1" t="n"/>
      <c r="B36" s="1" t="n"/>
      <c r="C36" s="1" t="n"/>
      <c r="D36" s="1" t="n"/>
      <c r="E36" s="1" t="n"/>
      <c r="F36" s="1" t="n"/>
    </row>
    <row r="37" ht="12.75" customHeight="1" s="150">
      <c r="A37" s="1" t="n"/>
      <c r="B37" s="1" t="n"/>
      <c r="C37" s="1" t="n"/>
      <c r="D37" s="1" t="n"/>
      <c r="E37" s="1" t="n"/>
      <c r="F37" s="1" t="n"/>
    </row>
    <row r="38" ht="12.75" customHeight="1" s="150">
      <c r="A38" s="1" t="n"/>
      <c r="B38" s="1" t="n"/>
      <c r="C38" s="1" t="n"/>
      <c r="D38" s="1" t="n"/>
      <c r="E38" s="1" t="n"/>
      <c r="F38" s="1" t="n"/>
    </row>
    <row r="39" ht="15.75" customHeight="1" s="150"/>
    <row r="40" ht="15.75" customHeight="1" s="150"/>
    <row r="41" ht="15.75" customHeight="1" s="150"/>
    <row r="42" ht="15.75" customHeight="1" s="150"/>
    <row r="43" ht="15.75" customHeight="1" s="150"/>
    <row r="44" ht="15.75" customHeight="1" s="150"/>
    <row r="45" ht="15.75" customHeight="1" s="150"/>
    <row r="46" ht="15.75" customHeight="1" s="150"/>
    <row r="47" ht="15.75" customHeight="1" s="150"/>
    <row r="48" ht="15.75" customHeight="1" s="150"/>
    <row r="49" ht="15.75" customHeight="1" s="150"/>
    <row r="50" ht="15.75" customHeight="1" s="150"/>
    <row r="51" ht="15.75" customHeight="1" s="150"/>
    <row r="52" ht="15.75" customHeight="1" s="150"/>
    <row r="53" ht="15.75" customHeight="1" s="150"/>
    <row r="54" ht="15.75" customHeight="1" s="150"/>
    <row r="55" ht="15.75" customHeight="1" s="150"/>
    <row r="56" ht="15.75" customHeight="1" s="150"/>
    <row r="57" ht="15.75" customHeight="1" s="150"/>
    <row r="58" ht="15.75" customHeight="1" s="150"/>
    <row r="59" ht="15.75" customHeight="1" s="150"/>
    <row r="60" ht="15.75" customHeight="1" s="150"/>
    <row r="61" ht="15.75" customHeight="1" s="150"/>
    <row r="62" ht="15.75" customHeight="1" s="150"/>
    <row r="63" ht="15.75" customHeight="1" s="150"/>
    <row r="64" ht="15.75" customHeight="1" s="150"/>
    <row r="65" ht="15.75" customHeight="1" s="150"/>
    <row r="66" ht="15.75" customHeight="1" s="150"/>
    <row r="67" ht="15.75" customHeight="1" s="150"/>
    <row r="68" ht="15.75" customHeight="1" s="150"/>
    <row r="69" ht="15.75" customHeight="1" s="150"/>
    <row r="70" ht="15.75" customHeight="1" s="150"/>
    <row r="71" ht="15.75" customHeight="1" s="150"/>
    <row r="72" ht="15.75" customHeight="1" s="150"/>
    <row r="73" ht="15.75" customHeight="1" s="150"/>
    <row r="74" ht="15.75" customHeight="1" s="150"/>
    <row r="75" ht="15.75" customHeight="1" s="150"/>
    <row r="76" ht="15.75" customHeight="1" s="150"/>
    <row r="77" ht="15.75" customHeight="1" s="150"/>
    <row r="78" ht="15.75" customHeight="1" s="150"/>
    <row r="79" ht="15.75" customHeight="1" s="150"/>
    <row r="80" ht="15.75" customHeight="1" s="150"/>
    <row r="81" ht="15.75" customHeight="1" s="150"/>
    <row r="82" ht="15.75" customHeight="1" s="150"/>
    <row r="83" ht="15.75" customHeight="1" s="150"/>
    <row r="84" ht="15.75" customHeight="1" s="150"/>
    <row r="85" ht="15.75" customHeight="1" s="150"/>
    <row r="86" ht="15.75" customHeight="1" s="150"/>
    <row r="87" ht="15.75" customHeight="1" s="150"/>
    <row r="88" ht="15.75" customHeight="1" s="150"/>
    <row r="89" ht="15.75" customHeight="1" s="150"/>
    <row r="90" ht="15.75" customHeight="1" s="150"/>
    <row r="91" ht="15.75" customHeight="1" s="150"/>
    <row r="92" ht="15.75" customHeight="1" s="150"/>
    <row r="93" ht="15.75" customHeight="1" s="150"/>
    <row r="94" ht="15.75" customHeight="1" s="150"/>
    <row r="95" ht="15.75" customHeight="1" s="150"/>
    <row r="96" ht="15.75" customHeight="1" s="150"/>
    <row r="97" ht="15.75" customHeight="1" s="150"/>
    <row r="98" ht="15.75" customHeight="1" s="150"/>
    <row r="99" ht="15.75" customHeight="1" s="150"/>
    <row r="100" ht="15.75" customHeight="1" s="150"/>
    <row r="101" ht="15.75" customHeight="1" s="150"/>
    <row r="102" ht="15.75" customHeight="1" s="150"/>
    <row r="103" ht="15.75" customHeight="1" s="150"/>
    <row r="104" ht="15.75" customHeight="1" s="150"/>
    <row r="105" ht="15.75" customHeight="1" s="150"/>
    <row r="106" ht="15.75" customHeight="1" s="150"/>
    <row r="107" ht="15.75" customHeight="1" s="150"/>
    <row r="108" ht="15.75" customHeight="1" s="150"/>
    <row r="109" ht="15.75" customHeight="1" s="150"/>
    <row r="110" ht="15.75" customHeight="1" s="150"/>
    <row r="111" ht="15.75" customHeight="1" s="150"/>
    <row r="112" ht="15.75" customHeight="1" s="150"/>
    <row r="113" ht="15.75" customHeight="1" s="150"/>
    <row r="114" ht="15.75" customHeight="1" s="150"/>
    <row r="115" ht="15.75" customHeight="1" s="150"/>
    <row r="116" ht="15.75" customHeight="1" s="150"/>
    <row r="117" ht="15.75" customHeight="1" s="150"/>
    <row r="118" ht="15.75" customHeight="1" s="150"/>
    <row r="119" ht="15.75" customHeight="1" s="150"/>
    <row r="120" ht="15.75" customHeight="1" s="150"/>
    <row r="121" ht="15.75" customHeight="1" s="150"/>
    <row r="122" ht="15.75" customHeight="1" s="150"/>
    <row r="123" ht="15.75" customHeight="1" s="150"/>
    <row r="124" ht="15.75" customHeight="1" s="150"/>
    <row r="125" ht="15.75" customHeight="1" s="150"/>
    <row r="126" ht="15.75" customHeight="1" s="150"/>
    <row r="127" ht="15.75" customHeight="1" s="150"/>
    <row r="128" ht="15.75" customHeight="1" s="150"/>
    <row r="129" ht="15.75" customHeight="1" s="150"/>
    <row r="130" ht="15.75" customHeight="1" s="150"/>
    <row r="131" ht="15.75" customHeight="1" s="150"/>
    <row r="132" ht="15.75" customHeight="1" s="150"/>
    <row r="133" ht="15.75" customHeight="1" s="150"/>
    <row r="134" ht="15.75" customHeight="1" s="150"/>
    <row r="135" ht="15.75" customHeight="1" s="150"/>
    <row r="136" ht="15.75" customHeight="1" s="150"/>
    <row r="137" ht="15.75" customHeight="1" s="150"/>
    <row r="138" ht="15.75" customHeight="1" s="150"/>
    <row r="139" ht="15.75" customHeight="1" s="150"/>
    <row r="140" ht="15.75" customHeight="1" s="150"/>
    <row r="141" ht="15.75" customHeight="1" s="150"/>
    <row r="142" ht="15.75" customHeight="1" s="150"/>
    <row r="143" ht="15.75" customHeight="1" s="150"/>
    <row r="144" ht="15.75" customHeight="1" s="150"/>
    <row r="145" ht="15.75" customHeight="1" s="150"/>
    <row r="146" ht="15.75" customHeight="1" s="150"/>
    <row r="147" ht="15.75" customHeight="1" s="150"/>
    <row r="148" ht="15.75" customHeight="1" s="150"/>
    <row r="149" ht="15.75" customHeight="1" s="150"/>
    <row r="150" ht="15.75" customHeight="1" s="150"/>
    <row r="151" ht="15.75" customHeight="1" s="150"/>
    <row r="152" ht="15.75" customHeight="1" s="150"/>
    <row r="153" ht="15.75" customHeight="1" s="150"/>
    <row r="154" ht="15.75" customHeight="1" s="150"/>
    <row r="155" ht="15.75" customHeight="1" s="150"/>
    <row r="156" ht="15.75" customHeight="1" s="150"/>
    <row r="157" ht="15.75" customHeight="1" s="150"/>
    <row r="158" ht="15.75" customHeight="1" s="150"/>
    <row r="159" ht="15.75" customHeight="1" s="150"/>
    <row r="160" ht="15.75" customHeight="1" s="150"/>
    <row r="161" ht="15.75" customHeight="1" s="150"/>
    <row r="162" ht="15.75" customHeight="1" s="150"/>
    <row r="163" ht="15.75" customHeight="1" s="150"/>
    <row r="164" ht="15.75" customHeight="1" s="150"/>
    <row r="165" ht="15.75" customHeight="1" s="150"/>
    <row r="166" ht="15.75" customHeight="1" s="150"/>
    <row r="167" ht="15.75" customHeight="1" s="150"/>
    <row r="168" ht="15.75" customHeight="1" s="150"/>
    <row r="169" ht="15.75" customHeight="1" s="150"/>
    <row r="170" ht="15.75" customHeight="1" s="150"/>
    <row r="171" ht="15.75" customHeight="1" s="150"/>
    <row r="172" ht="15.75" customHeight="1" s="150"/>
    <row r="173" ht="15.75" customHeight="1" s="150"/>
    <row r="174" ht="15.75" customHeight="1" s="150"/>
    <row r="175" ht="15.75" customHeight="1" s="150"/>
    <row r="176" ht="15.75" customHeight="1" s="150"/>
    <row r="177" ht="15.75" customHeight="1" s="150"/>
    <row r="178" ht="15.75" customHeight="1" s="150"/>
    <row r="179" ht="15.75" customHeight="1" s="150"/>
    <row r="180" ht="15.75" customHeight="1" s="150"/>
    <row r="181" ht="15.75" customHeight="1" s="150"/>
    <row r="182" ht="15.75" customHeight="1" s="150"/>
    <row r="183" ht="15.75" customHeight="1" s="150"/>
    <row r="184" ht="15.75" customHeight="1" s="150"/>
    <row r="185" ht="15.75" customHeight="1" s="150"/>
    <row r="186" ht="15.75" customHeight="1" s="150"/>
    <row r="187" ht="15.75" customHeight="1" s="150"/>
    <row r="188" ht="15.75" customHeight="1" s="150"/>
    <row r="189" ht="15.75" customHeight="1" s="150"/>
    <row r="190" ht="15.75" customHeight="1" s="150"/>
    <row r="191" ht="15.75" customHeight="1" s="150"/>
    <row r="192" ht="15.75" customHeight="1" s="150"/>
    <row r="193" ht="15.75" customHeight="1" s="150"/>
    <row r="194" ht="15.75" customHeight="1" s="150"/>
    <row r="195" ht="15.75" customHeight="1" s="150"/>
    <row r="196" ht="15.75" customHeight="1" s="150"/>
    <row r="197" ht="15.75" customHeight="1" s="150"/>
    <row r="198" ht="15.75" customHeight="1" s="150"/>
    <row r="199" ht="15.75" customHeight="1" s="150"/>
    <row r="200" ht="15.75" customHeight="1" s="150"/>
    <row r="201" ht="15.75" customHeight="1" s="150"/>
    <row r="202" ht="15.75" customHeight="1" s="150"/>
    <row r="203" ht="15.75" customHeight="1" s="150"/>
    <row r="204" ht="15.75" customHeight="1" s="150"/>
    <row r="205" ht="15.75" customHeight="1" s="150"/>
    <row r="206" ht="15.75" customHeight="1" s="150"/>
    <row r="207" ht="15.75" customHeight="1" s="150"/>
    <row r="208" ht="15.75" customHeight="1" s="150"/>
    <row r="209" ht="15.75" customHeight="1" s="150"/>
    <row r="210" ht="15.75" customHeight="1" s="150"/>
    <row r="211" ht="15.75" customHeight="1" s="150"/>
    <row r="212" ht="15.75" customHeight="1" s="150"/>
    <row r="213" ht="15.75" customHeight="1" s="150"/>
    <row r="214" ht="15.75" customHeight="1" s="150"/>
    <row r="215" ht="15.75" customHeight="1" s="150"/>
    <row r="216" ht="15.75" customHeight="1" s="150"/>
    <row r="217" ht="15.75" customHeight="1" s="150"/>
    <row r="218" ht="15.75" customHeight="1" s="150"/>
    <row r="219" ht="15.75" customHeight="1" s="150"/>
    <row r="220" ht="15.75" customHeight="1" s="150"/>
    <row r="221" ht="15.75" customHeight="1" s="150"/>
    <row r="222" ht="15.75" customHeight="1" s="150"/>
    <row r="223" ht="15.75" customHeight="1" s="150"/>
    <row r="224" ht="15.75" customHeight="1" s="150"/>
    <row r="225" ht="15.75" customHeight="1" s="150"/>
    <row r="226" ht="15.75" customHeight="1" s="150"/>
    <row r="227" ht="15.75" customHeight="1" s="150"/>
    <row r="228" ht="15.75" customHeight="1" s="150"/>
    <row r="229" ht="15.75" customHeight="1" s="150"/>
    <row r="230" ht="15.75" customHeight="1" s="150"/>
    <row r="231" ht="15.75" customHeight="1" s="150"/>
    <row r="232" ht="15.75" customHeight="1" s="150"/>
    <row r="233" ht="15.75" customHeight="1" s="150"/>
    <row r="234" ht="15.75" customHeight="1" s="150"/>
    <row r="235" ht="15.75" customHeight="1" s="150"/>
    <row r="236" ht="15.75" customHeight="1" s="150"/>
    <row r="237" ht="15.75" customHeight="1" s="150"/>
    <row r="238" ht="15.75" customHeight="1" s="150"/>
    <row r="239" ht="15.75" customHeight="1" s="150"/>
    <row r="240" ht="15.75" customHeight="1" s="150"/>
    <row r="241" ht="15.75" customHeight="1" s="150"/>
    <row r="242" ht="15.75" customHeight="1" s="150"/>
    <row r="243" ht="15.75" customHeight="1" s="150"/>
    <row r="244" ht="15.75" customHeight="1" s="150"/>
    <row r="245" ht="15.75" customHeight="1" s="150"/>
    <row r="246" ht="15.75" customHeight="1" s="150"/>
    <row r="247" ht="15.75" customHeight="1" s="150"/>
    <row r="248" ht="15.75" customHeight="1" s="150"/>
    <row r="249" ht="15.75" customHeight="1" s="150"/>
    <row r="250" ht="15.75" customHeight="1" s="150"/>
    <row r="251" ht="15.75" customHeight="1" s="150"/>
    <row r="252" ht="15.75" customHeight="1" s="150"/>
    <row r="253" ht="15.75" customHeight="1" s="150"/>
    <row r="254" ht="15.75" customHeight="1" s="150"/>
    <row r="255" ht="15.75" customHeight="1" s="150"/>
    <row r="256" ht="15.75" customHeight="1" s="150"/>
    <row r="257" ht="15.75" customHeight="1" s="150"/>
    <row r="258" ht="15.75" customHeight="1" s="150"/>
    <row r="259" ht="15.75" customHeight="1" s="150"/>
    <row r="260" ht="15.75" customHeight="1" s="150"/>
    <row r="261" ht="15.75" customHeight="1" s="150"/>
    <row r="262" ht="15.75" customHeight="1" s="150"/>
    <row r="263" ht="15.75" customHeight="1" s="150"/>
    <row r="264" ht="15.75" customHeight="1" s="150"/>
    <row r="265" ht="15.75" customHeight="1" s="150"/>
    <row r="266" ht="15.75" customHeight="1" s="150"/>
    <row r="267" ht="15.75" customHeight="1" s="150"/>
    <row r="268" ht="15.75" customHeight="1" s="150"/>
    <row r="269" ht="15.75" customHeight="1" s="150"/>
    <row r="270" ht="15.75" customHeight="1" s="150"/>
    <row r="271" ht="15.75" customHeight="1" s="150"/>
    <row r="272" ht="15.75" customHeight="1" s="150"/>
    <row r="273" ht="15.75" customHeight="1" s="150"/>
    <row r="274" ht="15.75" customHeight="1" s="150"/>
    <row r="275" ht="15.75" customHeight="1" s="150"/>
    <row r="276" ht="15.75" customHeight="1" s="150"/>
    <row r="277" ht="15.75" customHeight="1" s="150"/>
    <row r="278" ht="15.75" customHeight="1" s="150"/>
    <row r="279" ht="15.75" customHeight="1" s="150"/>
    <row r="280" ht="15.75" customHeight="1" s="150"/>
    <row r="281" ht="15.75" customHeight="1" s="150"/>
    <row r="282" ht="15.75" customHeight="1" s="150"/>
    <row r="283" ht="15.75" customHeight="1" s="150"/>
    <row r="284" ht="15.75" customHeight="1" s="150"/>
    <row r="285" ht="15.75" customHeight="1" s="150"/>
    <row r="286" ht="15.75" customHeight="1" s="150"/>
    <row r="287" ht="15.75" customHeight="1" s="150"/>
    <row r="288" ht="15.75" customHeight="1" s="150"/>
    <row r="289" ht="15.75" customHeight="1" s="150"/>
    <row r="290" ht="15.75" customHeight="1" s="150"/>
    <row r="291" ht="15.75" customHeight="1" s="150"/>
    <row r="292" ht="15.75" customHeight="1" s="150"/>
    <row r="293" ht="15.75" customHeight="1" s="150"/>
    <row r="294" ht="15.75" customHeight="1" s="150"/>
    <row r="295" ht="15.75" customHeight="1" s="150"/>
    <row r="296" ht="15.75" customHeight="1" s="150"/>
    <row r="297" ht="15.75" customHeight="1" s="150"/>
    <row r="298" ht="15.75" customHeight="1" s="150"/>
    <row r="299" ht="15.75" customHeight="1" s="150"/>
    <row r="300" ht="15.75" customHeight="1" s="150"/>
    <row r="301" ht="15.75" customHeight="1" s="150"/>
    <row r="302" ht="15.75" customHeight="1" s="150"/>
    <row r="303" ht="15.75" customHeight="1" s="150"/>
    <row r="304" ht="15.75" customHeight="1" s="150"/>
    <row r="305" ht="15.75" customHeight="1" s="150"/>
    <row r="306" ht="15.75" customHeight="1" s="150"/>
    <row r="307" ht="15.75" customHeight="1" s="150"/>
    <row r="308" ht="15.75" customHeight="1" s="150"/>
    <row r="309" ht="15.75" customHeight="1" s="150"/>
    <row r="310" ht="15.75" customHeight="1" s="150"/>
    <row r="311" ht="15.75" customHeight="1" s="150"/>
    <row r="312" ht="15.75" customHeight="1" s="150"/>
    <row r="313" ht="15.75" customHeight="1" s="150"/>
    <row r="314" ht="15.75" customHeight="1" s="150"/>
    <row r="315" ht="15.75" customHeight="1" s="150"/>
    <row r="316" ht="15.75" customHeight="1" s="150"/>
    <row r="317" ht="15.75" customHeight="1" s="150"/>
    <row r="318" ht="15.75" customHeight="1" s="150"/>
    <row r="319" ht="15.75" customHeight="1" s="150"/>
    <row r="320" ht="15.75" customHeight="1" s="150"/>
    <row r="321" ht="15.75" customHeight="1" s="150"/>
    <row r="322" ht="15.75" customHeight="1" s="150"/>
    <row r="323" ht="15.75" customHeight="1" s="150"/>
    <row r="324" ht="15.75" customHeight="1" s="150"/>
    <row r="325" ht="15.75" customHeight="1" s="150"/>
    <row r="326" ht="15.75" customHeight="1" s="150"/>
    <row r="327" ht="15.75" customHeight="1" s="150"/>
    <row r="328" ht="15.75" customHeight="1" s="150"/>
    <row r="329" ht="15.75" customHeight="1" s="150"/>
    <row r="330" ht="15.75" customHeight="1" s="150"/>
    <row r="331" ht="15.75" customHeight="1" s="150"/>
    <row r="332" ht="15.75" customHeight="1" s="150"/>
    <row r="333" ht="15.75" customHeight="1" s="150"/>
    <row r="334" ht="15.75" customHeight="1" s="150"/>
    <row r="335" ht="15.75" customHeight="1" s="150"/>
    <row r="336" ht="15.75" customHeight="1" s="150"/>
    <row r="337" ht="15.75" customHeight="1" s="150"/>
    <row r="338" ht="15.75" customHeight="1" s="150"/>
    <row r="339" ht="15.75" customHeight="1" s="150"/>
    <row r="340" ht="15.75" customHeight="1" s="150"/>
    <row r="341" ht="15.75" customHeight="1" s="150"/>
    <row r="342" ht="15.75" customHeight="1" s="150"/>
    <row r="343" ht="15.75" customHeight="1" s="150"/>
    <row r="344" ht="15.75" customHeight="1" s="150"/>
    <row r="345" ht="15.75" customHeight="1" s="150"/>
    <row r="346" ht="15.75" customHeight="1" s="150"/>
    <row r="347" ht="15.75" customHeight="1" s="150"/>
    <row r="348" ht="15.75" customHeight="1" s="150"/>
    <row r="349" ht="15.75" customHeight="1" s="150"/>
    <row r="350" ht="15.75" customHeight="1" s="150"/>
    <row r="351" ht="15.75" customHeight="1" s="150"/>
    <row r="352" ht="15.75" customHeight="1" s="150"/>
    <row r="353" ht="15.75" customHeight="1" s="150"/>
    <row r="354" ht="15.75" customHeight="1" s="150"/>
    <row r="355" ht="15.75" customHeight="1" s="150"/>
    <row r="356" ht="15.75" customHeight="1" s="150"/>
    <row r="357" ht="15.75" customHeight="1" s="150"/>
    <row r="358" ht="15.75" customHeight="1" s="150"/>
    <row r="359" ht="15.75" customHeight="1" s="150"/>
    <row r="360" ht="15.75" customHeight="1" s="150"/>
    <row r="361" ht="15.75" customHeight="1" s="150"/>
    <row r="362" ht="15.75" customHeight="1" s="150"/>
    <row r="363" ht="15.75" customHeight="1" s="150"/>
    <row r="364" ht="15.75" customHeight="1" s="150"/>
    <row r="365" ht="15.75" customHeight="1" s="150"/>
    <row r="366" ht="15.75" customHeight="1" s="150"/>
    <row r="367" ht="15.75" customHeight="1" s="150"/>
    <row r="368" ht="15.75" customHeight="1" s="150"/>
    <row r="369" ht="15.75" customHeight="1" s="150"/>
    <row r="370" ht="15.75" customHeight="1" s="150"/>
    <row r="371" ht="15.75" customHeight="1" s="150"/>
    <row r="372" ht="15.75" customHeight="1" s="150"/>
    <row r="373" ht="15.75" customHeight="1" s="150"/>
    <row r="374" ht="15.75" customHeight="1" s="150"/>
    <row r="375" ht="15.75" customHeight="1" s="150"/>
    <row r="376" ht="15.75" customHeight="1" s="150"/>
    <row r="377" ht="15.75" customHeight="1" s="150"/>
    <row r="378" ht="15.75" customHeight="1" s="150"/>
    <row r="379" ht="15.75" customHeight="1" s="150"/>
    <row r="380" ht="15.75" customHeight="1" s="150"/>
    <row r="381" ht="15.75" customHeight="1" s="150"/>
    <row r="382" ht="15.75" customHeight="1" s="150"/>
    <row r="383" ht="15.75" customHeight="1" s="150"/>
    <row r="384" ht="15.75" customHeight="1" s="150"/>
    <row r="385" ht="15.75" customHeight="1" s="150"/>
    <row r="386" ht="15.75" customHeight="1" s="150"/>
    <row r="387" ht="15.75" customHeight="1" s="150"/>
    <row r="388" ht="15.75" customHeight="1" s="150"/>
    <row r="389" ht="15.75" customHeight="1" s="150"/>
    <row r="390" ht="15.75" customHeight="1" s="150"/>
    <row r="391" ht="15.75" customHeight="1" s="150"/>
    <row r="392" ht="15.75" customHeight="1" s="150"/>
    <row r="393" ht="15.75" customHeight="1" s="150"/>
    <row r="394" ht="15.75" customHeight="1" s="150"/>
    <row r="395" ht="15.75" customHeight="1" s="150"/>
    <row r="396" ht="15.75" customHeight="1" s="150"/>
    <row r="397" ht="15.75" customHeight="1" s="150"/>
    <row r="398" ht="15.75" customHeight="1" s="150"/>
    <row r="399" ht="15.75" customHeight="1" s="150"/>
    <row r="400" ht="15.75" customHeight="1" s="150"/>
    <row r="401" ht="15.75" customHeight="1" s="150"/>
    <row r="402" ht="15.75" customHeight="1" s="150"/>
    <row r="403" ht="15.75" customHeight="1" s="150"/>
    <row r="404" ht="15.75" customHeight="1" s="150"/>
    <row r="405" ht="15.75" customHeight="1" s="150"/>
    <row r="406" ht="15.75" customHeight="1" s="150"/>
    <row r="407" ht="15.75" customHeight="1" s="150"/>
    <row r="408" ht="15.75" customHeight="1" s="150"/>
    <row r="409" ht="15.75" customHeight="1" s="150"/>
    <row r="410" ht="15.75" customHeight="1" s="150"/>
    <row r="411" ht="15.75" customHeight="1" s="150"/>
    <row r="412" ht="15.75" customHeight="1" s="150"/>
    <row r="413" ht="15.75" customHeight="1" s="150"/>
    <row r="414" ht="15.75" customHeight="1" s="150"/>
    <row r="415" ht="15.75" customHeight="1" s="150"/>
    <row r="416" ht="15.75" customHeight="1" s="150"/>
    <row r="417" ht="15.75" customHeight="1" s="150"/>
    <row r="418" ht="15.75" customHeight="1" s="150"/>
    <row r="419" ht="15.75" customHeight="1" s="150"/>
    <row r="420" ht="15.75" customHeight="1" s="150"/>
    <row r="421" ht="15.75" customHeight="1" s="150"/>
    <row r="422" ht="15.75" customHeight="1" s="150"/>
    <row r="423" ht="15.75" customHeight="1" s="150"/>
    <row r="424" ht="15.75" customHeight="1" s="150"/>
    <row r="425" ht="15.75" customHeight="1" s="150"/>
    <row r="426" ht="15.75" customHeight="1" s="150"/>
    <row r="427" ht="15.75" customHeight="1" s="150"/>
    <row r="428" ht="15.75" customHeight="1" s="150"/>
    <row r="429" ht="15.75" customHeight="1" s="150"/>
    <row r="430" ht="15.75" customHeight="1" s="150"/>
    <row r="431" ht="15.75" customHeight="1" s="150"/>
    <row r="432" ht="15.75" customHeight="1" s="150"/>
    <row r="433" ht="15.75" customHeight="1" s="150"/>
    <row r="434" ht="15.75" customHeight="1" s="150"/>
    <row r="435" ht="15.75" customHeight="1" s="150"/>
    <row r="436" ht="15.75" customHeight="1" s="150"/>
    <row r="437" ht="15.75" customHeight="1" s="150"/>
    <row r="438" ht="15.75" customHeight="1" s="150"/>
    <row r="439" ht="15.75" customHeight="1" s="150"/>
    <row r="440" ht="15.75" customHeight="1" s="150"/>
    <row r="441" ht="15.75" customHeight="1" s="150"/>
    <row r="442" ht="15.75" customHeight="1" s="150"/>
    <row r="443" ht="15.75" customHeight="1" s="150"/>
    <row r="444" ht="15.75" customHeight="1" s="150"/>
    <row r="445" ht="15.75" customHeight="1" s="150"/>
    <row r="446" ht="15.75" customHeight="1" s="150"/>
    <row r="447" ht="15.75" customHeight="1" s="150"/>
    <row r="448" ht="15.75" customHeight="1" s="150"/>
    <row r="449" ht="15.75" customHeight="1" s="150"/>
    <row r="450" ht="15.75" customHeight="1" s="150"/>
    <row r="451" ht="15.75" customHeight="1" s="150"/>
    <row r="452" ht="15.75" customHeight="1" s="150"/>
    <row r="453" ht="15.75" customHeight="1" s="150"/>
    <row r="454" ht="15.75" customHeight="1" s="150"/>
    <row r="455" ht="15.75" customHeight="1" s="150"/>
    <row r="456" ht="15.75" customHeight="1" s="150"/>
    <row r="457" ht="15.75" customHeight="1" s="150"/>
    <row r="458" ht="15.75" customHeight="1" s="150"/>
    <row r="459" ht="15.75" customHeight="1" s="150"/>
    <row r="460" ht="15.75" customHeight="1" s="150"/>
    <row r="461" ht="15.75" customHeight="1" s="150"/>
    <row r="462" ht="15.75" customHeight="1" s="150"/>
    <row r="463" ht="15.75" customHeight="1" s="150"/>
    <row r="464" ht="15.75" customHeight="1" s="150"/>
    <row r="465" ht="15.75" customHeight="1" s="150"/>
    <row r="466" ht="15.75" customHeight="1" s="150"/>
    <row r="467" ht="15.75" customHeight="1" s="150"/>
    <row r="468" ht="15.75" customHeight="1" s="150"/>
    <row r="469" ht="15.75" customHeight="1" s="150"/>
    <row r="470" ht="15.75" customHeight="1" s="150"/>
    <row r="471" ht="15.75" customHeight="1" s="150"/>
    <row r="472" ht="15.75" customHeight="1" s="150"/>
    <row r="473" ht="15.75" customHeight="1" s="150"/>
    <row r="474" ht="15.75" customHeight="1" s="150"/>
    <row r="475" ht="15.75" customHeight="1" s="150"/>
    <row r="476" ht="15.75" customHeight="1" s="150"/>
    <row r="477" ht="15.75" customHeight="1" s="150"/>
    <row r="478" ht="15.75" customHeight="1" s="150"/>
    <row r="479" ht="15.75" customHeight="1" s="150"/>
    <row r="480" ht="15.75" customHeight="1" s="150"/>
    <row r="481" ht="15.75" customHeight="1" s="150"/>
    <row r="482" ht="15.75" customHeight="1" s="150"/>
    <row r="483" ht="15.75" customHeight="1" s="150"/>
    <row r="484" ht="15.75" customHeight="1" s="150"/>
    <row r="485" ht="15.75" customHeight="1" s="150"/>
    <row r="486" ht="15.75" customHeight="1" s="150"/>
    <row r="487" ht="15.75" customHeight="1" s="150"/>
    <row r="488" ht="15.75" customHeight="1" s="150"/>
    <row r="489" ht="15.75" customHeight="1" s="150"/>
    <row r="490" ht="15.75" customHeight="1" s="150"/>
    <row r="491" ht="15.75" customHeight="1" s="150"/>
    <row r="492" ht="15.75" customHeight="1" s="150"/>
    <row r="493" ht="15.75" customHeight="1" s="150"/>
    <row r="494" ht="15.75" customHeight="1" s="150"/>
    <row r="495" ht="15.75" customHeight="1" s="150"/>
    <row r="496" ht="15.75" customHeight="1" s="150"/>
    <row r="497" ht="15.75" customHeight="1" s="150"/>
    <row r="498" ht="15.75" customHeight="1" s="150"/>
    <row r="499" ht="15.75" customHeight="1" s="150"/>
    <row r="500" ht="15.75" customHeight="1" s="150"/>
    <row r="501" ht="15.75" customHeight="1" s="150"/>
    <row r="502" ht="15.75" customHeight="1" s="150"/>
    <row r="503" ht="15.75" customHeight="1" s="150"/>
    <row r="504" ht="15.75" customHeight="1" s="150"/>
    <row r="505" ht="15.75" customHeight="1" s="150"/>
    <row r="506" ht="15.75" customHeight="1" s="150"/>
    <row r="507" ht="15.75" customHeight="1" s="150"/>
    <row r="508" ht="15.75" customHeight="1" s="150"/>
    <row r="509" ht="15.75" customHeight="1" s="150"/>
    <row r="510" ht="15.75" customHeight="1" s="150"/>
    <row r="511" ht="15.75" customHeight="1" s="150"/>
    <row r="512" ht="15.75" customHeight="1" s="150"/>
    <row r="513" ht="15.75" customHeight="1" s="150"/>
    <row r="514" ht="15.75" customHeight="1" s="150"/>
    <row r="515" ht="15.75" customHeight="1" s="150"/>
    <row r="516" ht="15.75" customHeight="1" s="150"/>
    <row r="517" ht="15.75" customHeight="1" s="150"/>
    <row r="518" ht="15.75" customHeight="1" s="150"/>
    <row r="519" ht="15.75" customHeight="1" s="150"/>
    <row r="520" ht="15.75" customHeight="1" s="150"/>
    <row r="521" ht="15.75" customHeight="1" s="150"/>
    <row r="522" ht="15.75" customHeight="1" s="150"/>
    <row r="523" ht="15.75" customHeight="1" s="150"/>
    <row r="524" ht="15.75" customHeight="1" s="150"/>
    <row r="525" ht="15.75" customHeight="1" s="150"/>
    <row r="526" ht="15.75" customHeight="1" s="150"/>
    <row r="527" ht="15.75" customHeight="1" s="150"/>
    <row r="528" ht="15.75" customHeight="1" s="150"/>
    <row r="529" ht="15.75" customHeight="1" s="150"/>
    <row r="530" ht="15.75" customHeight="1" s="150"/>
    <row r="531" ht="15.75" customHeight="1" s="150"/>
    <row r="532" ht="15.75" customHeight="1" s="150"/>
    <row r="533" ht="15.75" customHeight="1" s="150"/>
    <row r="534" ht="15.75" customHeight="1" s="150"/>
    <row r="535" ht="15.75" customHeight="1" s="150"/>
    <row r="536" ht="15.75" customHeight="1" s="150"/>
    <row r="537" ht="15.75" customHeight="1" s="150"/>
    <row r="538" ht="15.75" customHeight="1" s="150"/>
    <row r="539" ht="15.75" customHeight="1" s="150"/>
    <row r="540" ht="15.75" customHeight="1" s="150"/>
    <row r="541" ht="15.75" customHeight="1" s="150"/>
    <row r="542" ht="15.75" customHeight="1" s="150"/>
    <row r="543" ht="15.75" customHeight="1" s="150"/>
    <row r="544" ht="15.75" customHeight="1" s="150"/>
    <row r="545" ht="15.75" customHeight="1" s="150"/>
    <row r="546" ht="15.75" customHeight="1" s="150"/>
    <row r="547" ht="15.75" customHeight="1" s="150"/>
    <row r="548" ht="15.75" customHeight="1" s="150"/>
    <row r="549" ht="15.75" customHeight="1" s="150"/>
    <row r="550" ht="15.75" customHeight="1" s="150"/>
    <row r="551" ht="15.75" customHeight="1" s="150"/>
    <row r="552" ht="15.75" customHeight="1" s="150"/>
    <row r="553" ht="15.75" customHeight="1" s="150"/>
    <row r="554" ht="15.75" customHeight="1" s="150"/>
    <row r="555" ht="15.75" customHeight="1" s="150"/>
    <row r="556" ht="15.75" customHeight="1" s="150"/>
    <row r="557" ht="15.75" customHeight="1" s="150"/>
    <row r="558" ht="15.75" customHeight="1" s="150"/>
    <row r="559" ht="15.75" customHeight="1" s="150"/>
    <row r="560" ht="15.75" customHeight="1" s="150"/>
    <row r="561" ht="15.75" customHeight="1" s="150"/>
    <row r="562" ht="15.75" customHeight="1" s="150"/>
    <row r="563" ht="15.75" customHeight="1" s="150"/>
    <row r="564" ht="15.75" customHeight="1" s="150"/>
    <row r="565" ht="15.75" customHeight="1" s="150"/>
    <row r="566" ht="15.75" customHeight="1" s="150"/>
    <row r="567" ht="15.75" customHeight="1" s="150"/>
    <row r="568" ht="15.75" customHeight="1" s="150"/>
    <row r="569" ht="15.75" customHeight="1" s="150"/>
    <row r="570" ht="15.75" customHeight="1" s="150"/>
    <row r="571" ht="15.75" customHeight="1" s="150"/>
    <row r="572" ht="15.75" customHeight="1" s="150"/>
    <row r="573" ht="15.75" customHeight="1" s="150"/>
    <row r="574" ht="15.75" customHeight="1" s="150"/>
    <row r="575" ht="15.75" customHeight="1" s="150"/>
    <row r="576" ht="15.75" customHeight="1" s="150"/>
    <row r="577" ht="15.75" customHeight="1" s="150"/>
    <row r="578" ht="15.75" customHeight="1" s="150"/>
    <row r="579" ht="15.75" customHeight="1" s="150"/>
    <row r="580" ht="15.75" customHeight="1" s="150"/>
    <row r="581" ht="15.75" customHeight="1" s="150"/>
    <row r="582" ht="15.75" customHeight="1" s="150"/>
    <row r="583" ht="15.75" customHeight="1" s="150"/>
    <row r="584" ht="15.75" customHeight="1" s="150"/>
    <row r="585" ht="15.75" customHeight="1" s="150"/>
    <row r="586" ht="15.75" customHeight="1" s="150"/>
    <row r="587" ht="15.75" customHeight="1" s="150"/>
    <row r="588" ht="15.75" customHeight="1" s="150"/>
    <row r="589" ht="15.75" customHeight="1" s="150"/>
    <row r="590" ht="15.75" customHeight="1" s="150"/>
    <row r="591" ht="15.75" customHeight="1" s="150"/>
    <row r="592" ht="15.75" customHeight="1" s="150"/>
    <row r="593" ht="15.75" customHeight="1" s="150"/>
    <row r="594" ht="15.75" customHeight="1" s="150"/>
    <row r="595" ht="15.75" customHeight="1" s="150"/>
    <row r="596" ht="15.75" customHeight="1" s="150"/>
    <row r="597" ht="15.75" customHeight="1" s="150"/>
    <row r="598" ht="15.75" customHeight="1" s="150"/>
    <row r="599" ht="15.75" customHeight="1" s="150"/>
    <row r="600" ht="15.75" customHeight="1" s="150"/>
    <row r="601" ht="15.75" customHeight="1" s="150"/>
    <row r="602" ht="15.75" customHeight="1" s="150"/>
    <row r="603" ht="15.75" customHeight="1" s="150"/>
    <row r="604" ht="15.75" customHeight="1" s="150"/>
    <row r="605" ht="15.75" customHeight="1" s="150"/>
    <row r="606" ht="15.75" customHeight="1" s="150"/>
    <row r="607" ht="15.75" customHeight="1" s="150"/>
    <row r="608" ht="15.75" customHeight="1" s="150"/>
    <row r="609" ht="15.75" customHeight="1" s="150"/>
    <row r="610" ht="15.75" customHeight="1" s="150"/>
    <row r="611" ht="15.75" customHeight="1" s="150"/>
    <row r="612" ht="15.75" customHeight="1" s="150"/>
    <row r="613" ht="15.75" customHeight="1" s="150"/>
    <row r="614" ht="15.75" customHeight="1" s="150"/>
    <row r="615" ht="15.75" customHeight="1" s="150"/>
    <row r="616" ht="15.75" customHeight="1" s="150"/>
    <row r="617" ht="15.75" customHeight="1" s="150"/>
    <row r="618" ht="15.75" customHeight="1" s="150"/>
    <row r="619" ht="15.75" customHeight="1" s="150"/>
    <row r="620" ht="15.75" customHeight="1" s="150"/>
    <row r="621" ht="15.75" customHeight="1" s="150"/>
    <row r="622" ht="15.75" customHeight="1" s="150"/>
    <row r="623" ht="15.75" customHeight="1" s="150"/>
    <row r="624" ht="15.75" customHeight="1" s="150"/>
    <row r="625" ht="15.75" customHeight="1" s="150"/>
    <row r="626" ht="15.75" customHeight="1" s="150"/>
    <row r="627" ht="15.75" customHeight="1" s="150"/>
    <row r="628" ht="15.75" customHeight="1" s="150"/>
    <row r="629" ht="15.75" customHeight="1" s="150"/>
    <row r="630" ht="15.75" customHeight="1" s="150"/>
    <row r="631" ht="15.75" customHeight="1" s="150"/>
    <row r="632" ht="15.75" customHeight="1" s="150"/>
    <row r="633" ht="15.75" customHeight="1" s="150"/>
    <row r="634" ht="15.75" customHeight="1" s="150"/>
    <row r="635" ht="15.75" customHeight="1" s="150"/>
    <row r="636" ht="15.75" customHeight="1" s="150"/>
    <row r="637" ht="15.75" customHeight="1" s="150"/>
    <row r="638" ht="15.75" customHeight="1" s="150"/>
    <row r="639" ht="15.75" customHeight="1" s="150"/>
    <row r="640" ht="15.75" customHeight="1" s="150"/>
    <row r="641" ht="15.75" customHeight="1" s="150"/>
    <row r="642" ht="15.75" customHeight="1" s="150"/>
    <row r="643" ht="15.75" customHeight="1" s="150"/>
    <row r="644" ht="15.75" customHeight="1" s="150"/>
    <row r="645" ht="15.75" customHeight="1" s="150"/>
    <row r="646" ht="15.75" customHeight="1" s="150"/>
    <row r="647" ht="15.75" customHeight="1" s="150"/>
    <row r="648" ht="15.75" customHeight="1" s="150"/>
    <row r="649" ht="15.75" customHeight="1" s="150"/>
    <row r="650" ht="15.75" customHeight="1" s="150"/>
    <row r="651" ht="15.75" customHeight="1" s="150"/>
    <row r="652" ht="15.75" customHeight="1" s="150"/>
    <row r="653" ht="15.75" customHeight="1" s="150"/>
    <row r="654" ht="15.75" customHeight="1" s="150"/>
    <row r="655" ht="15.75" customHeight="1" s="150"/>
    <row r="656" ht="15.75" customHeight="1" s="150"/>
    <row r="657" ht="15.75" customHeight="1" s="150"/>
    <row r="658" ht="15.75" customHeight="1" s="150"/>
    <row r="659" ht="15.75" customHeight="1" s="150"/>
    <row r="660" ht="15.75" customHeight="1" s="150"/>
    <row r="661" ht="15.75" customHeight="1" s="150"/>
    <row r="662" ht="15.75" customHeight="1" s="150"/>
    <row r="663" ht="15.75" customHeight="1" s="150"/>
    <row r="664" ht="15.75" customHeight="1" s="150"/>
    <row r="665" ht="15.75" customHeight="1" s="150"/>
    <row r="666" ht="15.75" customHeight="1" s="150"/>
    <row r="667" ht="15.75" customHeight="1" s="150"/>
    <row r="668" ht="15.75" customHeight="1" s="150"/>
    <row r="669" ht="15.75" customHeight="1" s="150"/>
    <row r="670" ht="15.75" customHeight="1" s="150"/>
    <row r="671" ht="15.75" customHeight="1" s="150"/>
    <row r="672" ht="15.75" customHeight="1" s="150"/>
    <row r="673" ht="15.75" customHeight="1" s="150"/>
    <row r="674" ht="15.75" customHeight="1" s="150"/>
    <row r="675" ht="15.75" customHeight="1" s="150"/>
    <row r="676" ht="15.75" customHeight="1" s="150"/>
    <row r="677" ht="15.75" customHeight="1" s="150"/>
    <row r="678" ht="15.75" customHeight="1" s="150"/>
    <row r="679" ht="15.75" customHeight="1" s="150"/>
    <row r="680" ht="15.75" customHeight="1" s="150"/>
    <row r="681" ht="15.75" customHeight="1" s="150"/>
    <row r="682" ht="15.75" customHeight="1" s="150"/>
    <row r="683" ht="15.75" customHeight="1" s="150"/>
    <row r="684" ht="15.75" customHeight="1" s="150"/>
    <row r="685" ht="15.75" customHeight="1" s="150"/>
    <row r="686" ht="15.75" customHeight="1" s="150"/>
    <row r="687" ht="15.75" customHeight="1" s="150"/>
    <row r="688" ht="15.75" customHeight="1" s="150"/>
    <row r="689" ht="15.75" customHeight="1" s="150"/>
    <row r="690" ht="15.75" customHeight="1" s="150"/>
    <row r="691" ht="15.75" customHeight="1" s="150"/>
    <row r="692" ht="15.75" customHeight="1" s="150"/>
    <row r="693" ht="15.75" customHeight="1" s="150"/>
    <row r="694" ht="15.75" customHeight="1" s="150"/>
    <row r="695" ht="15.75" customHeight="1" s="150"/>
    <row r="696" ht="15.75" customHeight="1" s="150"/>
    <row r="697" ht="15.75" customHeight="1" s="150"/>
    <row r="698" ht="15.75" customHeight="1" s="150"/>
    <row r="699" ht="15.75" customHeight="1" s="150"/>
    <row r="700" ht="15.75" customHeight="1" s="150"/>
    <row r="701" ht="15.75" customHeight="1" s="150"/>
    <row r="702" ht="15.75" customHeight="1" s="150"/>
    <row r="703" ht="15.75" customHeight="1" s="150"/>
    <row r="704" ht="15.75" customHeight="1" s="150"/>
    <row r="705" ht="15.75" customHeight="1" s="150"/>
    <row r="706" ht="15.75" customHeight="1" s="150"/>
    <row r="707" ht="15.75" customHeight="1" s="150"/>
    <row r="708" ht="15.75" customHeight="1" s="150"/>
    <row r="709" ht="15.75" customHeight="1" s="150"/>
    <row r="710" ht="15.75" customHeight="1" s="150"/>
    <row r="711" ht="15.75" customHeight="1" s="150"/>
    <row r="712" ht="15.75" customHeight="1" s="150"/>
    <row r="713" ht="15.75" customHeight="1" s="150"/>
    <row r="714" ht="15.75" customHeight="1" s="150"/>
    <row r="715" ht="15.75" customHeight="1" s="150"/>
    <row r="716" ht="15.75" customHeight="1" s="150"/>
    <row r="717" ht="15.75" customHeight="1" s="150"/>
    <row r="718" ht="15.75" customHeight="1" s="150"/>
    <row r="719" ht="15.75" customHeight="1" s="150"/>
    <row r="720" ht="15.75" customHeight="1" s="150"/>
    <row r="721" ht="15.75" customHeight="1" s="150"/>
    <row r="722" ht="15.75" customHeight="1" s="150"/>
    <row r="723" ht="15.75" customHeight="1" s="150"/>
    <row r="724" ht="15.75" customHeight="1" s="150"/>
    <row r="725" ht="15.75" customHeight="1" s="150"/>
    <row r="726" ht="15.75" customHeight="1" s="150"/>
    <row r="727" ht="15.75" customHeight="1" s="150"/>
    <row r="728" ht="15.75" customHeight="1" s="150"/>
    <row r="729" ht="15.75" customHeight="1" s="150"/>
    <row r="730" ht="15.75" customHeight="1" s="150"/>
    <row r="731" ht="15.75" customHeight="1" s="150"/>
    <row r="732" ht="15.75" customHeight="1" s="150"/>
    <row r="733" ht="15.75" customHeight="1" s="150"/>
    <row r="734" ht="15.75" customHeight="1" s="150"/>
    <row r="735" ht="15.75" customHeight="1" s="150"/>
    <row r="736" ht="15.75" customHeight="1" s="150"/>
    <row r="737" ht="15.75" customHeight="1" s="150"/>
    <row r="738" ht="15.75" customHeight="1" s="150"/>
    <row r="739" ht="15.75" customHeight="1" s="150"/>
    <row r="740" ht="15.75" customHeight="1" s="150"/>
    <row r="741" ht="15.75" customHeight="1" s="150"/>
    <row r="742" ht="15.75" customHeight="1" s="150"/>
    <row r="743" ht="15.75" customHeight="1" s="150"/>
    <row r="744" ht="15.75" customHeight="1" s="150"/>
    <row r="745" ht="15.75" customHeight="1" s="150"/>
    <row r="746" ht="15.75" customHeight="1" s="150"/>
    <row r="747" ht="15.75" customHeight="1" s="150"/>
    <row r="748" ht="15.75" customHeight="1" s="150"/>
    <row r="749" ht="15.75" customHeight="1" s="150"/>
    <row r="750" ht="15.75" customHeight="1" s="150"/>
    <row r="751" ht="15.75" customHeight="1" s="150"/>
    <row r="752" ht="15.75" customHeight="1" s="150"/>
    <row r="753" ht="15.75" customHeight="1" s="150"/>
    <row r="754" ht="15.75" customHeight="1" s="150"/>
    <row r="755" ht="15.75" customHeight="1" s="150"/>
    <row r="756" ht="15.75" customHeight="1" s="150"/>
    <row r="757" ht="15.75" customHeight="1" s="150"/>
    <row r="758" ht="15.75" customHeight="1" s="150"/>
    <row r="759" ht="15.75" customHeight="1" s="150"/>
    <row r="760" ht="15.75" customHeight="1" s="150"/>
    <row r="761" ht="15.75" customHeight="1" s="150"/>
    <row r="762" ht="15.75" customHeight="1" s="150"/>
    <row r="763" ht="15.75" customHeight="1" s="150"/>
    <row r="764" ht="15.75" customHeight="1" s="150"/>
    <row r="765" ht="15.75" customHeight="1" s="150"/>
    <row r="766" ht="15.75" customHeight="1" s="150"/>
    <row r="767" ht="15.75" customHeight="1" s="150"/>
    <row r="768" ht="15.75" customHeight="1" s="150"/>
    <row r="769" ht="15.75" customHeight="1" s="150"/>
    <row r="770" ht="15.75" customHeight="1" s="150"/>
    <row r="771" ht="15.75" customHeight="1" s="150"/>
    <row r="772" ht="15.75" customHeight="1" s="150"/>
    <row r="773" ht="15.75" customHeight="1" s="150"/>
    <row r="774" ht="15.75" customHeight="1" s="150"/>
    <row r="775" ht="15.75" customHeight="1" s="150"/>
    <row r="776" ht="15.75" customHeight="1" s="150"/>
    <row r="777" ht="15.75" customHeight="1" s="150"/>
    <row r="778" ht="15.75" customHeight="1" s="150"/>
    <row r="779" ht="15.75" customHeight="1" s="150"/>
    <row r="780" ht="15.75" customHeight="1" s="150"/>
    <row r="781" ht="15.75" customHeight="1" s="150"/>
    <row r="782" ht="15.75" customHeight="1" s="150"/>
    <row r="783" ht="15.75" customHeight="1" s="150"/>
    <row r="784" ht="15.75" customHeight="1" s="150"/>
    <row r="785" ht="15.75" customHeight="1" s="150"/>
    <row r="786" ht="15.75" customHeight="1" s="150"/>
    <row r="787" ht="15.75" customHeight="1" s="150"/>
    <row r="788" ht="15.75" customHeight="1" s="150"/>
    <row r="789" ht="15.75" customHeight="1" s="150"/>
    <row r="790" ht="15.75" customHeight="1" s="150"/>
    <row r="791" ht="15.75" customHeight="1" s="150"/>
    <row r="792" ht="15.75" customHeight="1" s="150"/>
    <row r="793" ht="15.75" customHeight="1" s="150"/>
    <row r="794" ht="15.75" customHeight="1" s="150"/>
    <row r="795" ht="15.75" customHeight="1" s="150"/>
    <row r="796" ht="15.75" customHeight="1" s="150"/>
    <row r="797" ht="15.75" customHeight="1" s="150"/>
    <row r="798" ht="15.75" customHeight="1" s="150"/>
    <row r="799" ht="15.75" customHeight="1" s="150"/>
    <row r="800" ht="15.75" customHeight="1" s="150"/>
    <row r="801" ht="15.75" customHeight="1" s="150"/>
    <row r="802" ht="15.75" customHeight="1" s="150"/>
    <row r="803" ht="15.75" customHeight="1" s="150"/>
    <row r="804" ht="15.75" customHeight="1" s="150"/>
    <row r="805" ht="15.75" customHeight="1" s="150"/>
    <row r="806" ht="15.75" customHeight="1" s="150"/>
    <row r="807" ht="15.75" customHeight="1" s="150"/>
    <row r="808" ht="15.75" customHeight="1" s="150"/>
    <row r="809" ht="15.75" customHeight="1" s="150"/>
    <row r="810" ht="15.75" customHeight="1" s="150"/>
    <row r="811" ht="15.75" customHeight="1" s="150"/>
    <row r="812" ht="15.75" customHeight="1" s="150"/>
    <row r="813" ht="15.75" customHeight="1" s="150"/>
    <row r="814" ht="15.75" customHeight="1" s="150"/>
    <row r="815" ht="15.75" customHeight="1" s="150"/>
    <row r="816" ht="15.75" customHeight="1" s="150"/>
    <row r="817" ht="15.75" customHeight="1" s="150"/>
    <row r="818" ht="15.75" customHeight="1" s="150"/>
    <row r="819" ht="15.75" customHeight="1" s="150"/>
    <row r="820" ht="15.75" customHeight="1" s="150"/>
    <row r="821" ht="15.75" customHeight="1" s="150"/>
    <row r="822" ht="15.75" customHeight="1" s="150"/>
    <row r="823" ht="15.75" customHeight="1" s="150"/>
    <row r="824" ht="15.75" customHeight="1" s="150"/>
    <row r="825" ht="15.75" customHeight="1" s="150"/>
    <row r="826" ht="15.75" customHeight="1" s="150"/>
    <row r="827" ht="15.75" customHeight="1" s="150"/>
    <row r="828" ht="15.75" customHeight="1" s="150"/>
    <row r="829" ht="15.75" customHeight="1" s="150"/>
    <row r="830" ht="15.75" customHeight="1" s="150"/>
    <row r="831" ht="15.75" customHeight="1" s="150"/>
    <row r="832" ht="15.75" customHeight="1" s="150"/>
    <row r="833" ht="15.75" customHeight="1" s="150"/>
    <row r="834" ht="15.75" customHeight="1" s="150"/>
    <row r="835" ht="15.75" customHeight="1" s="150"/>
    <row r="836" ht="15.75" customHeight="1" s="150"/>
    <row r="837" ht="15.75" customHeight="1" s="150"/>
    <row r="838" ht="15.75" customHeight="1" s="150"/>
    <row r="839" ht="15.75" customHeight="1" s="150"/>
    <row r="840" ht="15.75" customHeight="1" s="150"/>
    <row r="841" ht="15.75" customHeight="1" s="150"/>
    <row r="842" ht="15.75" customHeight="1" s="150"/>
    <row r="843" ht="15.75" customHeight="1" s="150"/>
    <row r="844" ht="15.75" customHeight="1" s="150"/>
    <row r="845" ht="15.75" customHeight="1" s="150"/>
    <row r="846" ht="15.75" customHeight="1" s="150"/>
    <row r="847" ht="15.75" customHeight="1" s="150"/>
    <row r="848" ht="15.75" customHeight="1" s="150"/>
    <row r="849" ht="15.75" customHeight="1" s="150"/>
    <row r="850" ht="15.75" customHeight="1" s="150"/>
    <row r="851" ht="15.75" customHeight="1" s="150"/>
    <row r="852" ht="15.75" customHeight="1" s="150"/>
    <row r="853" ht="15.75" customHeight="1" s="150"/>
    <row r="854" ht="15.75" customHeight="1" s="150"/>
    <row r="855" ht="15.75" customHeight="1" s="150"/>
    <row r="856" ht="15.75" customHeight="1" s="150"/>
    <row r="857" ht="15.75" customHeight="1" s="150"/>
    <row r="858" ht="15.75" customHeight="1" s="150"/>
    <row r="859" ht="15.75" customHeight="1" s="150"/>
    <row r="860" ht="15.75" customHeight="1" s="150"/>
    <row r="861" ht="15.75" customHeight="1" s="150"/>
    <row r="862" ht="15.75" customHeight="1" s="150"/>
    <row r="863" ht="15.75" customHeight="1" s="150"/>
    <row r="864" ht="15.75" customHeight="1" s="150"/>
    <row r="865" ht="15.75" customHeight="1" s="150"/>
    <row r="866" ht="15.75" customHeight="1" s="150"/>
    <row r="867" ht="15.75" customHeight="1" s="150"/>
    <row r="868" ht="15.75" customHeight="1" s="150"/>
    <row r="869" ht="15.75" customHeight="1" s="150"/>
    <row r="870" ht="15.75" customHeight="1" s="150"/>
    <row r="871" ht="15.75" customHeight="1" s="150"/>
    <row r="872" ht="15.75" customHeight="1" s="150"/>
    <row r="873" ht="15.75" customHeight="1" s="150"/>
    <row r="874" ht="15.75" customHeight="1" s="150"/>
    <row r="875" ht="15.75" customHeight="1" s="150"/>
    <row r="876" ht="15.75" customHeight="1" s="150"/>
    <row r="877" ht="15.75" customHeight="1" s="150"/>
    <row r="878" ht="15.75" customHeight="1" s="150"/>
    <row r="879" ht="15.75" customHeight="1" s="150"/>
    <row r="880" ht="15.75" customHeight="1" s="150"/>
    <row r="881" ht="15.75" customHeight="1" s="150"/>
    <row r="882" ht="15.75" customHeight="1" s="150"/>
    <row r="883" ht="15.75" customHeight="1" s="150"/>
    <row r="884" ht="15.75" customHeight="1" s="150"/>
    <row r="885" ht="15.75" customHeight="1" s="150"/>
    <row r="886" ht="15.75" customHeight="1" s="150"/>
    <row r="887" ht="15.75" customHeight="1" s="150"/>
    <row r="888" ht="15.75" customHeight="1" s="150"/>
    <row r="889" ht="15.75" customHeight="1" s="150"/>
    <row r="890" ht="15.75" customHeight="1" s="150"/>
    <row r="891" ht="15.75" customHeight="1" s="150"/>
    <row r="892" ht="15.75" customHeight="1" s="150"/>
    <row r="893" ht="15.75" customHeight="1" s="150"/>
    <row r="894" ht="15.75" customHeight="1" s="150"/>
    <row r="895" ht="15.75" customHeight="1" s="150"/>
    <row r="896" ht="15.75" customHeight="1" s="150"/>
    <row r="897" ht="15.75" customHeight="1" s="150"/>
    <row r="898" ht="15.75" customHeight="1" s="150"/>
    <row r="899" ht="15.75" customHeight="1" s="150"/>
    <row r="900" ht="15.75" customHeight="1" s="150"/>
    <row r="901" ht="15.75" customHeight="1" s="150"/>
    <row r="902" ht="15.75" customHeight="1" s="150"/>
    <row r="903" ht="15.75" customHeight="1" s="150"/>
    <row r="904" ht="15.75" customHeight="1" s="150"/>
    <row r="905" ht="15.75" customHeight="1" s="150"/>
    <row r="906" ht="15.75" customHeight="1" s="150"/>
    <row r="907" ht="15.75" customHeight="1" s="150"/>
    <row r="908" ht="15.75" customHeight="1" s="150"/>
    <row r="909" ht="15.75" customHeight="1" s="150"/>
    <row r="910" ht="15.75" customHeight="1" s="150"/>
    <row r="911" ht="15.75" customHeight="1" s="150"/>
    <row r="912" ht="15.75" customHeight="1" s="150"/>
    <row r="913" ht="15.75" customHeight="1" s="150"/>
    <row r="914" ht="15.75" customHeight="1" s="150"/>
    <row r="915" ht="15.75" customHeight="1" s="150"/>
    <row r="916" ht="15.75" customHeight="1" s="150"/>
    <row r="917" ht="15.75" customHeight="1" s="150"/>
    <row r="918" ht="15.75" customHeight="1" s="150"/>
    <row r="919" ht="15.75" customHeight="1" s="150"/>
    <row r="920" ht="15.75" customHeight="1" s="150"/>
    <row r="921" ht="15.75" customHeight="1" s="150"/>
    <row r="922" ht="15.75" customHeight="1" s="150"/>
    <row r="923" ht="15.75" customHeight="1" s="150"/>
    <row r="924" ht="15.75" customHeight="1" s="150"/>
    <row r="925" ht="15.75" customHeight="1" s="150"/>
    <row r="926" ht="15.75" customHeight="1" s="150"/>
    <row r="927" ht="15.75" customHeight="1" s="150"/>
    <row r="928" ht="15.75" customHeight="1" s="150"/>
    <row r="929" ht="15.75" customHeight="1" s="150"/>
    <row r="930" ht="15.75" customHeight="1" s="150"/>
    <row r="931" ht="15.75" customHeight="1" s="150"/>
    <row r="932" ht="15.75" customHeight="1" s="150"/>
    <row r="933" ht="15.75" customHeight="1" s="150"/>
    <row r="934" ht="15.75" customHeight="1" s="150"/>
    <row r="935" ht="15.75" customHeight="1" s="150"/>
    <row r="936" ht="15.75" customHeight="1" s="150"/>
    <row r="937" ht="15.75" customHeight="1" s="150"/>
    <row r="938" ht="15.75" customHeight="1" s="150"/>
    <row r="939" ht="15.75" customHeight="1" s="150"/>
    <row r="940" ht="15.75" customHeight="1" s="150"/>
    <row r="941" ht="15.75" customHeight="1" s="150"/>
    <row r="942" ht="15.75" customHeight="1" s="150"/>
    <row r="943" ht="15.75" customHeight="1" s="150"/>
    <row r="944" ht="15.75" customHeight="1" s="150"/>
    <row r="945" ht="15.75" customHeight="1" s="150"/>
    <row r="946" ht="15.75" customHeight="1" s="150"/>
    <row r="947" ht="15.75" customHeight="1" s="150"/>
    <row r="948" ht="15.75" customHeight="1" s="150"/>
    <row r="949" ht="15.75" customHeight="1" s="150"/>
    <row r="950" ht="15.75" customHeight="1" s="150"/>
    <row r="951" ht="15.75" customHeight="1" s="150"/>
    <row r="952" ht="15.75" customHeight="1" s="150"/>
    <row r="953" ht="15.75" customHeight="1" s="150"/>
    <row r="954" ht="15.75" customHeight="1" s="150"/>
    <row r="955" ht="15.75" customHeight="1" s="150"/>
    <row r="956" ht="15.75" customHeight="1" s="150"/>
    <row r="957" ht="15.75" customHeight="1" s="150"/>
    <row r="958" ht="15.75" customHeight="1" s="150"/>
    <row r="959" ht="15.75" customHeight="1" s="150"/>
    <row r="960" ht="15.75" customHeight="1" s="150"/>
    <row r="961" ht="15.75" customHeight="1" s="150"/>
    <row r="962" ht="15.75" customHeight="1" s="150"/>
    <row r="963" ht="15.75" customHeight="1" s="150"/>
    <row r="964" ht="15.75" customHeight="1" s="150"/>
    <row r="965" ht="15.75" customHeight="1" s="150"/>
    <row r="966" ht="15.75" customHeight="1" s="150"/>
    <row r="967" ht="15.75" customHeight="1" s="150"/>
    <row r="968" ht="15.75" customHeight="1" s="150"/>
    <row r="969" ht="15.75" customHeight="1" s="150"/>
    <row r="970" ht="15.75" customHeight="1" s="150"/>
    <row r="971" ht="15.75" customHeight="1" s="150"/>
    <row r="972" ht="15.75" customHeight="1" s="150"/>
    <row r="973" ht="15.75" customHeight="1" s="150"/>
    <row r="974" ht="15.75" customHeight="1" s="150"/>
    <row r="975" ht="15.75" customHeight="1" s="150"/>
    <row r="976" ht="15.75" customHeight="1" s="150"/>
    <row r="977" ht="15.75" customHeight="1" s="150"/>
    <row r="978" ht="15.75" customHeight="1" s="150"/>
    <row r="979" ht="15.75" customHeight="1" s="150"/>
    <row r="980" ht="15.75" customHeight="1" s="150"/>
    <row r="981" ht="15.75" customHeight="1" s="150"/>
    <row r="982" ht="15.75" customHeight="1" s="150"/>
    <row r="983" ht="15.75" customHeight="1" s="150"/>
    <row r="984" ht="15.75" customHeight="1" s="150"/>
    <row r="985" ht="15.75" customHeight="1" s="150"/>
    <row r="986" ht="15.75" customHeight="1" s="150"/>
    <row r="987" ht="15.75" customHeight="1" s="150"/>
    <row r="988" ht="15.75" customHeight="1" s="150"/>
    <row r="989" ht="15.75" customHeight="1" s="150"/>
    <row r="990" ht="15.75" customHeight="1" s="150"/>
    <row r="991" ht="15.75" customHeight="1" s="150"/>
    <row r="992" ht="15.75" customHeight="1" s="150"/>
    <row r="993" ht="15.75" customHeight="1" s="150"/>
    <row r="994" ht="15.75" customHeight="1" s="150"/>
    <row r="995" ht="15.75" customHeight="1" s="150"/>
    <row r="996" ht="15.75" customHeight="1" s="150"/>
    <row r="997" ht="15.75" customHeight="1" s="150"/>
    <row r="998" ht="15.75" customHeight="1" s="150"/>
    <row r="999" ht="15.75" customHeight="1" s="150"/>
    <row r="1000" ht="15.75" customHeight="1" s="150"/>
    <row r="1001" ht="15.75" customHeight="1" s="150"/>
    <row r="1002" ht="15.75" customHeight="1" s="150"/>
    <row r="1003" ht="15.75" customHeight="1" s="150"/>
    <row r="1004" ht="15.75" customHeight="1" s="150"/>
    <row r="1005" ht="15.75" customHeight="1" s="150"/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F994"/>
  <sheetViews>
    <sheetView showGridLines="0" workbookViewId="0">
      <pane xSplit="1" ySplit="2" topLeftCell="B4" activePane="bottomRight" state="frozen"/>
      <selection pane="topRight" activeCell="B1" sqref="B1"/>
      <selection pane="bottomLeft" activeCell="A3" sqref="A3"/>
      <selection pane="bottomRight" activeCell="C45" sqref="C45"/>
    </sheetView>
  </sheetViews>
  <sheetFormatPr baseColWidth="10" defaultColWidth="12.59765625" defaultRowHeight="15" customHeight="1"/>
  <cols>
    <col width="1.59765625" customWidth="1" style="150" min="1" max="1"/>
    <col width="50.46484375" customWidth="1" style="150" min="2" max="2"/>
    <col width="34.1328125" customWidth="1" style="150" min="3" max="3"/>
    <col width="27.73046875" customWidth="1" style="150" min="4" max="4"/>
    <col width="11.86328125" customWidth="1" style="150" min="5" max="5"/>
    <col width="15.3984375" customWidth="1" style="150" min="6" max="6"/>
  </cols>
  <sheetData>
    <row r="1" ht="12.75" customHeight="1" s="150">
      <c r="A1" s="1" t="inlineStr">
        <is>
          <t xml:space="preserve"> </t>
        </is>
      </c>
      <c r="B1" s="1" t="n"/>
      <c r="C1" s="56" t="n"/>
      <c r="D1" s="1" t="n"/>
      <c r="E1" s="1" t="n"/>
      <c r="F1" s="1" t="n"/>
    </row>
    <row r="2" ht="12.75" customHeight="1" s="150">
      <c r="A2" s="1" t="n"/>
      <c r="B2" s="2" t="inlineStr">
        <is>
          <t>Annahmen Feld</t>
        </is>
      </c>
      <c r="C2" s="56" t="n"/>
      <c r="D2" s="1" t="n"/>
      <c r="E2" s="1" t="n"/>
      <c r="F2" s="1" t="n"/>
    </row>
    <row r="3" ht="12.75" customHeight="1" s="150">
      <c r="A3" s="1" t="n"/>
      <c r="B3" s="3" t="n"/>
      <c r="C3" s="57" t="n"/>
      <c r="D3" s="3" t="n"/>
      <c r="E3" s="3" t="n"/>
      <c r="F3" s="1" t="n"/>
    </row>
    <row r="4" ht="43.5" customHeight="1" s="150">
      <c r="A4" s="1" t="n"/>
      <c r="B4" s="4" t="inlineStr">
        <is>
          <t>INPUT - Stammdaten</t>
        </is>
      </c>
      <c r="C4" s="58" t="n"/>
      <c r="D4" s="6" t="n"/>
      <c r="E4" s="50" t="n"/>
      <c r="F4" s="1" t="n"/>
    </row>
    <row r="5">
      <c r="A5" s="1" t="n"/>
      <c r="B5" s="7" t="n"/>
      <c r="C5" s="59" t="n"/>
      <c r="D5" s="49" t="inlineStr">
        <is>
          <t>Stand</t>
        </is>
      </c>
      <c r="E5" s="50" t="inlineStr">
        <is>
          <t>26.03.2026</t>
        </is>
      </c>
      <c r="F5" s="1" t="n"/>
    </row>
    <row r="6" ht="18.75" customHeight="1" s="150">
      <c r="A6" s="1" t="n"/>
      <c r="B6" s="60" t="inlineStr">
        <is>
          <t>Projekt Zusammenfassung</t>
        </is>
      </c>
      <c r="C6" s="61" t="n"/>
      <c r="D6" s="62" t="n"/>
      <c r="E6" s="62" t="n"/>
      <c r="F6" s="1" t="n"/>
    </row>
    <row r="7">
      <c r="A7" s="1" t="n"/>
      <c r="B7" s="165" t="n"/>
      <c r="C7" s="166" t="n"/>
      <c r="D7" s="166" t="n"/>
      <c r="E7" s="167" t="n"/>
      <c r="F7" s="1" t="n"/>
    </row>
    <row r="8" ht="12.75" customHeight="1" s="150">
      <c r="A8" s="1" t="n"/>
      <c r="B8" s="3" t="n"/>
      <c r="C8" s="57" t="n"/>
      <c r="D8" s="3" t="n"/>
      <c r="E8" s="3" t="n"/>
      <c r="F8" s="1" t="n"/>
    </row>
    <row r="9">
      <c r="A9" s="1" t="n"/>
      <c r="B9" s="63" t="inlineStr">
        <is>
          <t>Facts</t>
        </is>
      </c>
      <c r="C9" s="64" t="n"/>
      <c r="D9" s="65" t="n"/>
      <c r="E9" s="65" t="n"/>
      <c r="F9" s="1" t="n"/>
    </row>
    <row r="10">
      <c r="A10" s="10" t="n"/>
      <c r="B10" s="66" t="inlineStr">
        <is>
          <t>Adresse</t>
        </is>
      </c>
      <c r="C10" s="168" t="inlineStr">
        <is>
          <t>Oranienburger Straße 6 in 16321 Bernau</t>
        </is>
      </c>
      <c r="F10" s="15" t="n"/>
    </row>
    <row r="11">
      <c r="A11" s="10" t="n"/>
      <c r="B11" s="68" t="inlineStr">
        <is>
          <t>Google Maps Link</t>
        </is>
      </c>
      <c r="C11" s="168" t="inlineStr">
        <is>
          <t>https://maps.google.com/?q=Oranienburger+Straße+6+in+16321+Bernau</t>
        </is>
      </c>
      <c r="E11" s="44" t="n"/>
      <c r="F11" s="15" t="n"/>
    </row>
    <row r="12">
      <c r="A12" s="10" t="n"/>
      <c r="B12" s="68" t="inlineStr">
        <is>
          <t>Bezirk / Ortteil</t>
        </is>
      </c>
      <c r="C12" s="168" t="inlineStr">
        <is>
          <t>Rehberge</t>
        </is>
      </c>
      <c r="E12" s="70" t="n"/>
      <c r="F12" s="15" t="n"/>
    </row>
    <row r="13">
      <c r="A13" s="10" t="n"/>
      <c r="B13" s="68" t="inlineStr">
        <is>
          <t>Objekttyp</t>
        </is>
      </c>
      <c r="C13" s="168" t="inlineStr">
        <is>
          <t>Mehrfamilienhaus mit Stellplätzen und Neubaupotenzial</t>
        </is>
      </c>
      <c r="E13" s="70" t="n"/>
      <c r="F13" s="15" t="n"/>
    </row>
    <row r="14">
      <c r="A14" s="10" t="n"/>
      <c r="B14" s="68" t="inlineStr">
        <is>
          <t>Baujahr</t>
        </is>
      </c>
      <c r="C14" s="168" t="n">
        <v>1920</v>
      </c>
      <c r="E14" s="70" t="n"/>
      <c r="F14" s="15" t="n"/>
    </row>
    <row r="15">
      <c r="A15" s="10" t="n"/>
      <c r="B15" s="68" t="inlineStr">
        <is>
          <t>letzte wesentliche Modernisierung</t>
        </is>
      </c>
      <c r="C15" s="169" t="n">
        <v>2000</v>
      </c>
      <c r="E15" s="70" t="n"/>
      <c r="F15" s="15" t="n"/>
    </row>
    <row r="16">
      <c r="A16" s="10" t="n"/>
      <c r="B16" s="66" t="inlineStr">
        <is>
          <t>Gründstücksgröße (in qm) WEG</t>
        </is>
      </c>
      <c r="C16" s="170" t="n">
        <v>1172</v>
      </c>
      <c r="D16" s="45" t="n"/>
      <c r="E16" s="73" t="n"/>
      <c r="F16" s="15" t="n"/>
    </row>
    <row r="17">
      <c r="A17" s="10" t="n"/>
      <c r="B17" s="68" t="inlineStr">
        <is>
          <t>Bodenrichtwert (je qm)</t>
        </is>
      </c>
      <c r="C17" s="74" t="n"/>
      <c r="E17" s="70" t="n"/>
      <c r="F17" s="15" t="n"/>
    </row>
    <row r="18" ht="13.9" customHeight="1" s="150">
      <c r="A18" s="10" t="n"/>
      <c r="B18" s="75" t="inlineStr">
        <is>
          <t>Wert Grund &amp; Boden</t>
        </is>
      </c>
      <c r="C18" s="171">
        <f>grundstücksgröße*Bodenrichtwert</f>
        <v/>
      </c>
      <c r="D18" s="47" t="n"/>
      <c r="E18" s="76" t="n"/>
      <c r="F18" s="15" t="n"/>
    </row>
    <row r="19">
      <c r="A19" s="10" t="n"/>
      <c r="B19" s="66" t="inlineStr">
        <is>
          <t>Gebäudeteile</t>
        </is>
      </c>
      <c r="C19" s="72" t="n"/>
      <c r="D19" s="45" t="n"/>
      <c r="E19" s="73" t="n"/>
      <c r="F19" s="15" t="n"/>
    </row>
    <row r="20">
      <c r="A20" s="10" t="n"/>
      <c r="B20" s="68" t="inlineStr">
        <is>
          <t>Anzahl Vollgeschosse (ohne EG &amp; DG)</t>
        </is>
      </c>
      <c r="C20" s="168" t="n">
        <v>0</v>
      </c>
      <c r="E20" s="70" t="n"/>
      <c r="F20" s="15" t="n"/>
    </row>
    <row r="21" ht="15.75" customHeight="1" s="150">
      <c r="A21" s="10" t="n"/>
      <c r="B21" s="75" t="inlineStr">
        <is>
          <t>DG ausgebaut?</t>
        </is>
      </c>
      <c r="C21" s="172" t="inlineStr">
        <is>
          <t>Ja</t>
        </is>
      </c>
      <c r="D21" s="47" t="n"/>
      <c r="E21" s="76" t="n"/>
      <c r="F21" s="15" t="n"/>
    </row>
    <row r="22" ht="15.75" customHeight="1" s="150">
      <c r="A22" s="10" t="n"/>
      <c r="B22" s="68" t="inlineStr">
        <is>
          <t>Abgeschlossenheitsbescheinigung:</t>
        </is>
      </c>
      <c r="C22" s="78" t="n"/>
      <c r="E22" s="70" t="n"/>
      <c r="F22" s="15" t="n"/>
    </row>
    <row r="23" ht="15.75" customHeight="1" s="150">
      <c r="A23" s="10" t="n"/>
      <c r="B23" s="68" t="inlineStr">
        <is>
          <t>Aufgeteilt nach WEG</t>
        </is>
      </c>
      <c r="C23" s="67" t="n"/>
      <c r="E23" s="70" t="n"/>
      <c r="F23" s="15" t="n"/>
    </row>
    <row r="24" ht="15.75" customHeight="1" s="150">
      <c r="A24" s="10" t="n"/>
      <c r="B24" s="68" t="inlineStr">
        <is>
          <t>Sperrfrist für Eigenbedarf</t>
        </is>
      </c>
      <c r="C24" s="67" t="n"/>
      <c r="E24" s="70" t="n"/>
      <c r="F24" s="15" t="n"/>
    </row>
    <row r="25" ht="15.75" customHeight="1" s="150">
      <c r="A25" s="10" t="n"/>
      <c r="B25" s="68" t="inlineStr">
        <is>
          <t>Verdichtungspotential?</t>
        </is>
      </c>
      <c r="C25" s="67" t="n"/>
      <c r="E25" s="70" t="n"/>
      <c r="F25" s="15" t="n"/>
    </row>
    <row r="26" ht="15.75" customHeight="1" s="150">
      <c r="A26" s="10" t="n"/>
      <c r="B26" s="66" t="inlineStr">
        <is>
          <t>Sanierungsgebiet?</t>
        </is>
      </c>
      <c r="C26" s="72" t="n"/>
      <c r="D26" s="45" t="n"/>
      <c r="E26" s="73" t="n"/>
      <c r="F26" s="15" t="n"/>
    </row>
    <row r="27" ht="15.75" customHeight="1" s="150">
      <c r="A27" s="10" t="n"/>
      <c r="B27" s="68" t="inlineStr">
        <is>
          <t>Milieuschutzgebiet?</t>
        </is>
      </c>
      <c r="C27" s="67" t="n"/>
      <c r="E27" s="70" t="n"/>
      <c r="F27" s="15" t="n"/>
    </row>
    <row r="28" ht="15.75" customHeight="1" s="150">
      <c r="A28" s="10" t="n"/>
      <c r="B28" s="75" t="inlineStr">
        <is>
          <t>Ensenbleschutz / Denkmal?</t>
        </is>
      </c>
      <c r="C28" s="77" t="n"/>
      <c r="D28" s="47" t="n"/>
      <c r="E28" s="76" t="n"/>
      <c r="F28" s="15" t="n"/>
    </row>
    <row r="29" ht="15.75" customHeight="1" s="150">
      <c r="A29" s="10" t="n"/>
      <c r="B29" s="75" t="inlineStr">
        <is>
          <t>Objekt Fotos</t>
        </is>
      </c>
      <c r="C29" s="79" t="n"/>
      <c r="D29" s="47" t="n"/>
      <c r="E29" s="76" t="n"/>
      <c r="F29" s="15" t="n"/>
    </row>
    <row r="30" ht="12.75" customHeight="1" s="150">
      <c r="A30" s="1" t="n"/>
      <c r="B30" s="3" t="n"/>
      <c r="C30" s="57" t="n"/>
      <c r="D30" s="3" t="n"/>
      <c r="E30" s="3" t="n"/>
      <c r="F30" s="1" t="n"/>
    </row>
    <row r="31" ht="15.75" customHeight="1" s="150">
      <c r="A31" s="1" t="n"/>
      <c r="B31" s="80" t="inlineStr">
        <is>
          <t>Flächen</t>
        </is>
      </c>
      <c r="C31" s="81" t="n"/>
      <c r="D31" s="82" t="n"/>
      <c r="E31" s="82" t="n"/>
      <c r="F31" s="1" t="n"/>
    </row>
    <row r="32" ht="15.75" customHeight="1" s="150">
      <c r="A32" s="1" t="n"/>
      <c r="B32" s="66" t="inlineStr">
        <is>
          <t>Einheiten - Wohnen</t>
        </is>
      </c>
      <c r="C32" s="168" t="n">
        <v>11</v>
      </c>
      <c r="D32" s="45" t="n"/>
      <c r="E32" s="45" t="n"/>
      <c r="F32" s="1" t="n"/>
    </row>
    <row r="33" ht="15.75" customHeight="1" s="150">
      <c r="A33" s="1" t="n"/>
      <c r="B33" s="68" t="inlineStr">
        <is>
          <t>WFL - Wohnen (in qm)</t>
        </is>
      </c>
      <c r="C33" s="173" t="n">
        <v>594.54</v>
      </c>
      <c r="F33" s="1" t="n"/>
    </row>
    <row r="34" ht="15.75" customHeight="1" s="150">
      <c r="A34" s="1" t="n"/>
      <c r="B34" s="75" t="inlineStr">
        <is>
          <t>Leerstand Wohnen (in qm)</t>
        </is>
      </c>
      <c r="C34" s="174" t="n">
        <v>0</v>
      </c>
      <c r="D34" s="85" t="n"/>
      <c r="E34" s="47" t="n"/>
      <c r="F34" s="1" t="n"/>
    </row>
    <row r="35" ht="15.75" customHeight="1" s="150">
      <c r="A35" s="1" t="n"/>
      <c r="B35" s="68" t="inlineStr">
        <is>
          <t xml:space="preserve">Einheiten - Gewerbe </t>
        </is>
      </c>
      <c r="C35" s="78" t="n"/>
      <c r="F35" s="1" t="n"/>
    </row>
    <row r="36" ht="15.75" customHeight="1" s="150">
      <c r="A36" s="1" t="n"/>
      <c r="B36" s="68" t="inlineStr">
        <is>
          <t>WFL - Gewerbe (in qm)</t>
        </is>
      </c>
      <c r="C36" s="175" t="n"/>
      <c r="F36" s="1" t="n"/>
    </row>
    <row r="37" ht="15.75" customHeight="1" s="150">
      <c r="A37" s="1" t="n"/>
      <c r="B37" s="75" t="inlineStr">
        <is>
          <t>Leerstand Gewerbe (in qm)</t>
        </is>
      </c>
      <c r="C37" s="174" t="n"/>
      <c r="D37" s="85" t="n"/>
      <c r="E37" s="47" t="n"/>
      <c r="F37" s="1" t="n"/>
    </row>
    <row r="38" ht="15.75" customHeight="1" s="150">
      <c r="A38" s="10" t="n"/>
      <c r="B38" s="86" t="inlineStr">
        <is>
          <t>Sonstige vermietbare Fläche (in qm)</t>
        </is>
      </c>
      <c r="C38" s="87" t="n"/>
      <c r="D38" s="88" t="n"/>
      <c r="E38" s="176" t="n"/>
      <c r="F38" s="15" t="n"/>
    </row>
    <row r="39" ht="15.75" customHeight="1" s="150">
      <c r="A39" s="10" t="n"/>
      <c r="B39" s="27" t="inlineStr">
        <is>
          <t>Anzahl Stellplätze</t>
        </is>
      </c>
      <c r="C39" s="46" t="n"/>
      <c r="D39" s="90" t="n"/>
      <c r="E39" s="177" t="n"/>
      <c r="F39" s="15" t="n"/>
    </row>
    <row r="40" ht="15.75" customHeight="1" s="150">
      <c r="A40" s="10" t="n"/>
      <c r="B40" s="27" t="inlineStr">
        <is>
          <t>Anzahl Tiefgaragenstellplätze</t>
        </is>
      </c>
      <c r="C40" s="46" t="n"/>
      <c r="D40" s="90" t="n"/>
      <c r="E40" s="177" t="n"/>
      <c r="F40" s="15" t="n"/>
    </row>
    <row r="41" ht="15.75" customHeight="1" s="150">
      <c r="A41" s="10" t="n"/>
      <c r="B41" s="27" t="inlineStr">
        <is>
          <t>Anzahl Garagen</t>
        </is>
      </c>
      <c r="C41" s="46" t="n"/>
      <c r="D41" s="90" t="n"/>
      <c r="E41" s="177" t="n"/>
      <c r="F41" s="15" t="n"/>
    </row>
    <row r="42" ht="15.75" customHeight="1" s="150">
      <c r="A42" s="10" t="n"/>
      <c r="B42" s="92" t="inlineStr">
        <is>
          <t>Gesamt vermietbare Fläche Bestand (in qm)</t>
        </is>
      </c>
      <c r="C42" s="178">
        <f>C38+C36+C33</f>
        <v/>
      </c>
      <c r="D42" s="94" t="n"/>
      <c r="E42" s="179">
        <f>SUM(E32:E37)</f>
        <v/>
      </c>
      <c r="F42" s="15" t="n"/>
    </row>
    <row r="43" ht="12.75" customHeight="1" s="150">
      <c r="A43" s="1" t="n"/>
      <c r="B43" s="96" t="n"/>
      <c r="C43" s="97" t="n"/>
      <c r="D43" s="96" t="n"/>
      <c r="E43" s="96" t="n"/>
      <c r="F43" s="1" t="n"/>
    </row>
    <row r="44" ht="15.75" customHeight="1" s="150">
      <c r="A44" s="1" t="n"/>
      <c r="B44" s="63" t="inlineStr">
        <is>
          <t>Erwerbskosten</t>
        </is>
      </c>
      <c r="C44" s="98" t="n"/>
      <c r="D44" s="99" t="n"/>
      <c r="E44" s="99" t="n"/>
      <c r="F44" s="1" t="n"/>
    </row>
    <row r="45" ht="15.75" customHeight="1" s="150">
      <c r="A45" s="10" t="n"/>
      <c r="B45" s="100" t="inlineStr">
        <is>
          <t>Kaufpreis</t>
        </is>
      </c>
      <c r="C45" s="180" t="n">
        <v>1350000</v>
      </c>
      <c r="D45" s="90" t="n"/>
      <c r="E45" s="102" t="n"/>
      <c r="F45" s="1" t="n"/>
    </row>
    <row r="46" ht="15.75" customHeight="1" s="150">
      <c r="A46" s="10" t="n"/>
      <c r="B46" s="100" t="inlineStr">
        <is>
          <t>Makler</t>
        </is>
      </c>
      <c r="C46" s="181">
        <f>C45*D46</f>
        <v/>
      </c>
      <c r="D46" s="104" t="n">
        <v>0.07140000000000001</v>
      </c>
      <c r="E46" s="102" t="n"/>
      <c r="F46" s="1" t="n"/>
    </row>
    <row r="47" ht="15.75" customHeight="1" s="150">
      <c r="A47" s="10" t="n"/>
      <c r="B47" s="100" t="inlineStr">
        <is>
          <t>KNK (Notar, Grunderwerbssteuer, etc.)</t>
        </is>
      </c>
      <c r="C47" s="181">
        <f>D47*C45</f>
        <v/>
      </c>
      <c r="D47" s="104" t="n">
        <v>0.08</v>
      </c>
      <c r="E47" s="102" t="n"/>
      <c r="F47" s="1" t="n"/>
    </row>
    <row r="48" ht="15.75" customHeight="1" s="150">
      <c r="A48" s="10" t="n"/>
      <c r="B48" s="100" t="inlineStr">
        <is>
          <t>Kosten Aufteilung nach WEG</t>
        </is>
      </c>
      <c r="C48" s="181" t="n">
        <v>10000</v>
      </c>
      <c r="D48" s="105" t="n"/>
      <c r="E48" s="102" t="n"/>
      <c r="F48" s="1" t="n"/>
    </row>
    <row r="49" ht="15.75" customHeight="1" s="150">
      <c r="A49" s="10" t="n"/>
      <c r="B49" s="100" t="inlineStr">
        <is>
          <t>Vermarktungskosten</t>
        </is>
      </c>
      <c r="C49" s="181" t="n">
        <v>10000</v>
      </c>
      <c r="D49" s="105" t="n"/>
      <c r="E49" s="102" t="n"/>
      <c r="F49" s="1" t="n"/>
    </row>
    <row r="50" ht="15.75" customHeight="1" s="150">
      <c r="A50" s="10" t="n"/>
      <c r="B50" s="100" t="inlineStr">
        <is>
          <t>Sonstige Kosten</t>
        </is>
      </c>
      <c r="C50" s="181" t="n">
        <v>10000</v>
      </c>
      <c r="D50" s="105" t="inlineStr">
        <is>
          <t>Puffer</t>
        </is>
      </c>
      <c r="E50" s="102" t="n"/>
      <c r="F50" s="1" t="n"/>
    </row>
    <row r="51" ht="23.25" customHeight="1" s="150">
      <c r="A51" s="1" t="n"/>
      <c r="B51" s="106" t="inlineStr">
        <is>
          <t>Gesamtinvestitionskosten (GIK, vor Finanzierung)</t>
        </is>
      </c>
      <c r="C51" s="182">
        <f>SUM(C45:C50)</f>
        <v/>
      </c>
      <c r="D51" s="108" t="n"/>
      <c r="E51" s="108" t="n"/>
      <c r="F51" s="1" t="n"/>
    </row>
    <row r="52" ht="12.75" customHeight="1" s="150">
      <c r="A52" s="1" t="n"/>
      <c r="B52" s="1" t="n"/>
      <c r="C52" s="56" t="n"/>
      <c r="D52" s="1" t="n"/>
      <c r="E52" s="3" t="n"/>
      <c r="F52" s="1" t="n"/>
    </row>
    <row r="53" ht="12.75" customHeight="1" s="150">
      <c r="A53" s="1" t="n"/>
      <c r="B53" s="1" t="n"/>
      <c r="C53" s="56" t="n"/>
      <c r="D53" s="1" t="n"/>
      <c r="E53" s="1" t="n"/>
      <c r="F53" s="1" t="n"/>
    </row>
    <row r="54" ht="15.75" customHeight="1" s="150">
      <c r="A54" s="1" t="n"/>
      <c r="B54" s="1" t="n"/>
      <c r="C54" s="56" t="n"/>
      <c r="D54" s="1" t="n"/>
      <c r="E54" s="1" t="n"/>
      <c r="F54" s="1" t="n"/>
    </row>
    <row r="55" ht="15.75" customHeight="1" s="150">
      <c r="A55" s="1" t="n"/>
      <c r="B55" s="1" t="n"/>
      <c r="C55" s="56" t="n"/>
      <c r="D55" s="1" t="n"/>
      <c r="E55" s="1" t="n"/>
      <c r="F55" s="1" t="n"/>
    </row>
    <row r="56" ht="15.75" customHeight="1" s="150">
      <c r="A56" s="1" t="n"/>
      <c r="B56" s="1" t="n"/>
      <c r="C56" s="56" t="n"/>
      <c r="D56" s="1" t="n"/>
      <c r="E56" s="1" t="n"/>
      <c r="F56" s="1" t="n"/>
    </row>
    <row r="57" ht="15.75" customHeight="1" s="150">
      <c r="A57" s="1" t="n"/>
      <c r="B57" s="1" t="n"/>
      <c r="C57" s="56" t="n"/>
      <c r="D57" s="1" t="n"/>
      <c r="E57" s="1" t="n"/>
      <c r="F57" s="1" t="n"/>
    </row>
    <row r="58" ht="15.75" customHeight="1" s="150">
      <c r="A58" s="1" t="n"/>
      <c r="B58" s="1" t="n"/>
      <c r="C58" s="56" t="n"/>
      <c r="D58" s="1" t="n"/>
      <c r="E58" s="1" t="n"/>
      <c r="F58" s="1" t="n"/>
    </row>
    <row r="59" ht="15.75" customHeight="1" s="150">
      <c r="A59" s="1" t="n"/>
      <c r="B59" s="1" t="n"/>
      <c r="C59" s="56" t="n"/>
      <c r="D59" s="1" t="n"/>
      <c r="E59" s="1" t="n"/>
      <c r="F59" s="1" t="n"/>
    </row>
    <row r="60" ht="12.75" customHeight="1" s="150">
      <c r="A60" s="1" t="n"/>
      <c r="B60" s="1" t="n"/>
      <c r="C60" s="56" t="n"/>
      <c r="D60" s="1" t="n"/>
      <c r="E60" s="1" t="n"/>
      <c r="F60" s="1" t="n"/>
    </row>
    <row r="61" ht="12.75" customHeight="1" s="150">
      <c r="A61" s="1" t="n"/>
      <c r="B61" s="1" t="n"/>
      <c r="C61" s="56" t="n"/>
      <c r="D61" s="1" t="n"/>
      <c r="E61" s="1" t="n"/>
      <c r="F61" s="1" t="n"/>
    </row>
    <row r="62" ht="12.75" customHeight="1" s="150">
      <c r="A62" s="1" t="n"/>
      <c r="B62" s="1" t="n"/>
      <c r="C62" s="56" t="n"/>
      <c r="D62" s="1" t="n"/>
      <c r="E62" s="1" t="n"/>
      <c r="F62" s="1" t="n"/>
    </row>
    <row r="63" ht="12.75" customHeight="1" s="150">
      <c r="A63" s="1" t="n"/>
      <c r="B63" s="1" t="n"/>
      <c r="C63" s="56" t="n"/>
      <c r="D63" s="1" t="n"/>
      <c r="E63" s="1" t="n"/>
      <c r="F63" s="1" t="n"/>
    </row>
    <row r="64" ht="12.75" customHeight="1" s="150">
      <c r="A64" s="1" t="n"/>
      <c r="B64" s="1" t="n"/>
      <c r="C64" s="56" t="n"/>
      <c r="D64" s="1" t="n"/>
      <c r="E64" s="1" t="n"/>
      <c r="F64" s="1" t="n"/>
    </row>
    <row r="65" ht="12.75" customHeight="1" s="150">
      <c r="A65" s="1" t="n"/>
      <c r="B65" s="1" t="n"/>
      <c r="C65" s="56" t="n"/>
      <c r="D65" s="1" t="n"/>
      <c r="E65" s="1" t="n"/>
      <c r="F65" s="1" t="n"/>
    </row>
    <row r="66" ht="12.75" customHeight="1" s="150">
      <c r="A66" s="1" t="n"/>
      <c r="B66" s="1" t="n"/>
      <c r="C66" s="56" t="n"/>
      <c r="D66" s="1" t="n"/>
      <c r="E66" s="1" t="n"/>
      <c r="F66" s="1" t="n"/>
    </row>
    <row r="67" ht="12.75" customHeight="1" s="150">
      <c r="A67" s="1" t="n"/>
      <c r="B67" s="1" t="n"/>
      <c r="C67" s="56" t="n"/>
      <c r="D67" s="1" t="n"/>
      <c r="E67" s="1" t="n"/>
      <c r="F67" s="1" t="n"/>
    </row>
    <row r="68" ht="12.75" customHeight="1" s="150">
      <c r="A68" s="1" t="n"/>
      <c r="B68" s="1" t="n"/>
      <c r="C68" s="56" t="n"/>
      <c r="D68" s="1" t="n"/>
      <c r="E68" s="1" t="n"/>
      <c r="F68" s="1" t="n"/>
    </row>
    <row r="69" ht="12.75" customHeight="1" s="150">
      <c r="A69" s="1" t="n"/>
      <c r="B69" s="1" t="n"/>
      <c r="C69" s="56" t="n"/>
      <c r="D69" s="1" t="n"/>
      <c r="E69" s="1" t="n"/>
      <c r="F69" s="1" t="n"/>
    </row>
    <row r="70" ht="12.75" customHeight="1" s="150">
      <c r="A70" s="1" t="n"/>
      <c r="B70" s="1" t="n"/>
      <c r="C70" s="56" t="n"/>
      <c r="D70" s="1" t="n"/>
      <c r="E70" s="1" t="n"/>
      <c r="F70" s="1" t="n"/>
    </row>
    <row r="71" ht="12.75" customHeight="1" s="150">
      <c r="A71" s="1" t="n"/>
      <c r="B71" s="1" t="n"/>
      <c r="C71" s="56" t="n"/>
      <c r="D71" s="1" t="n"/>
      <c r="E71" s="1" t="n"/>
      <c r="F71" s="1" t="n"/>
    </row>
    <row r="72" ht="12.75" customHeight="1" s="150">
      <c r="A72" s="1" t="n"/>
      <c r="B72" s="1" t="n"/>
      <c r="C72" s="56" t="n"/>
      <c r="D72" s="1" t="n"/>
      <c r="E72" s="1" t="n"/>
      <c r="F72" s="1" t="n"/>
    </row>
    <row r="73" ht="12.75" customHeight="1" s="150">
      <c r="A73" s="1" t="n"/>
      <c r="B73" s="1" t="n"/>
      <c r="C73" s="56" t="n"/>
      <c r="D73" s="1" t="n"/>
      <c r="E73" s="1" t="n"/>
      <c r="F73" s="1" t="n"/>
    </row>
    <row r="74" ht="12.75" customHeight="1" s="150">
      <c r="A74" s="1" t="n"/>
      <c r="B74" s="1" t="n"/>
      <c r="C74" s="56" t="n"/>
      <c r="D74" s="1" t="n"/>
      <c r="E74" s="1" t="n"/>
      <c r="F74" s="1" t="n"/>
    </row>
    <row r="75" ht="12.75" customHeight="1" s="150">
      <c r="A75" s="1" t="n"/>
      <c r="B75" s="1" t="n"/>
      <c r="C75" s="56" t="n"/>
      <c r="D75" s="1" t="n"/>
      <c r="E75" s="1" t="n"/>
      <c r="F75" s="1" t="n"/>
    </row>
    <row r="76" ht="15.75" customHeight="1" s="150">
      <c r="C76" s="109" t="n"/>
    </row>
    <row r="77" ht="15.75" customHeight="1" s="150">
      <c r="C77" s="109" t="n"/>
    </row>
    <row r="78" ht="15.75" customHeight="1" s="150">
      <c r="C78" s="109" t="n"/>
    </row>
    <row r="79" ht="15.75" customHeight="1" s="150">
      <c r="C79" s="109" t="n"/>
    </row>
    <row r="80" ht="15.75" customHeight="1" s="150">
      <c r="C80" s="109" t="n"/>
    </row>
    <row r="81" ht="15.75" customHeight="1" s="150">
      <c r="C81" s="109" t="n"/>
    </row>
    <row r="82" ht="15.75" customHeight="1" s="150">
      <c r="C82" s="109" t="n"/>
    </row>
    <row r="83" ht="15.75" customHeight="1" s="150">
      <c r="C83" s="109" t="n"/>
    </row>
    <row r="84" ht="15.75" customHeight="1" s="150">
      <c r="C84" s="109" t="n"/>
    </row>
    <row r="85" ht="15.75" customHeight="1" s="150">
      <c r="C85" s="109" t="n"/>
    </row>
    <row r="86" ht="15.75" customHeight="1" s="150">
      <c r="C86" s="109" t="n"/>
    </row>
    <row r="87" ht="15.75" customHeight="1" s="150">
      <c r="C87" s="109" t="n"/>
    </row>
    <row r="88" ht="15.75" customHeight="1" s="150">
      <c r="C88" s="109" t="n"/>
    </row>
    <row r="89" ht="15.75" customHeight="1" s="150">
      <c r="C89" s="109" t="n"/>
    </row>
    <row r="90" ht="15.75" customHeight="1" s="150">
      <c r="C90" s="109" t="n"/>
    </row>
    <row r="91" ht="15.75" customHeight="1" s="150">
      <c r="C91" s="109" t="n"/>
    </row>
    <row r="92" ht="15.75" customHeight="1" s="150">
      <c r="C92" s="109" t="n"/>
    </row>
    <row r="93" ht="15.75" customHeight="1" s="150">
      <c r="C93" s="109" t="n"/>
    </row>
    <row r="94" ht="15.75" customHeight="1" s="150">
      <c r="C94" s="109" t="n"/>
    </row>
    <row r="95" ht="15.75" customHeight="1" s="150">
      <c r="C95" s="109" t="n"/>
    </row>
    <row r="96" ht="15.75" customHeight="1" s="150">
      <c r="C96" s="109" t="n"/>
    </row>
    <row r="97" ht="15.75" customHeight="1" s="150">
      <c r="C97" s="109" t="n"/>
    </row>
    <row r="98" ht="15.75" customHeight="1" s="150">
      <c r="C98" s="109" t="n"/>
    </row>
    <row r="99" ht="15.75" customHeight="1" s="150">
      <c r="C99" s="109" t="n"/>
    </row>
    <row r="100" ht="15.75" customHeight="1" s="150">
      <c r="C100" s="109" t="n"/>
    </row>
    <row r="101" ht="15.75" customHeight="1" s="150">
      <c r="C101" s="109" t="n"/>
    </row>
    <row r="102" ht="15.75" customHeight="1" s="150">
      <c r="C102" s="109" t="n"/>
    </row>
    <row r="103" ht="15.75" customHeight="1" s="150">
      <c r="C103" s="109" t="n"/>
    </row>
    <row r="104" ht="15.75" customHeight="1" s="150">
      <c r="C104" s="109" t="n"/>
    </row>
    <row r="105" ht="15.75" customHeight="1" s="150">
      <c r="C105" s="109" t="n"/>
    </row>
    <row r="106" ht="15.75" customHeight="1" s="150">
      <c r="C106" s="109" t="n"/>
    </row>
    <row r="107" ht="15.75" customHeight="1" s="150">
      <c r="C107" s="109" t="n"/>
    </row>
    <row r="108" ht="15.75" customHeight="1" s="150">
      <c r="C108" s="109" t="n"/>
    </row>
    <row r="109" ht="15.75" customHeight="1" s="150">
      <c r="C109" s="109" t="n"/>
    </row>
    <row r="110" ht="15.75" customHeight="1" s="150">
      <c r="C110" s="109" t="n"/>
    </row>
    <row r="111" ht="15.75" customHeight="1" s="150">
      <c r="C111" s="109" t="n"/>
    </row>
    <row r="112" ht="15.75" customHeight="1" s="150">
      <c r="C112" s="109" t="n"/>
    </row>
    <row r="113" ht="15.75" customHeight="1" s="150">
      <c r="C113" s="109" t="n"/>
    </row>
    <row r="114" ht="15.75" customHeight="1" s="150">
      <c r="C114" s="109" t="n"/>
    </row>
    <row r="115" ht="15.75" customHeight="1" s="150">
      <c r="C115" s="109" t="n"/>
    </row>
    <row r="116" ht="15.75" customHeight="1" s="150">
      <c r="C116" s="109" t="n"/>
    </row>
    <row r="117" ht="15.75" customHeight="1" s="150">
      <c r="C117" s="109" t="n"/>
    </row>
    <row r="118" ht="15.75" customHeight="1" s="150">
      <c r="C118" s="109" t="n"/>
    </row>
    <row r="119" ht="15.75" customHeight="1" s="150">
      <c r="C119" s="109" t="n"/>
    </row>
    <row r="120" ht="15.75" customHeight="1" s="150">
      <c r="C120" s="109" t="n"/>
    </row>
    <row r="121" ht="15.75" customHeight="1" s="150">
      <c r="C121" s="109" t="n"/>
    </row>
    <row r="122" ht="15.75" customHeight="1" s="150">
      <c r="C122" s="109" t="n"/>
    </row>
    <row r="123" ht="15.75" customHeight="1" s="150">
      <c r="C123" s="109" t="n"/>
    </row>
    <row r="124" ht="15.75" customHeight="1" s="150">
      <c r="C124" s="109" t="n"/>
    </row>
    <row r="125" ht="15.75" customHeight="1" s="150">
      <c r="C125" s="109" t="n"/>
    </row>
    <row r="126" ht="15.75" customHeight="1" s="150">
      <c r="C126" s="109" t="n"/>
    </row>
    <row r="127" ht="15.75" customHeight="1" s="150">
      <c r="C127" s="109" t="n"/>
    </row>
    <row r="128" ht="15.75" customHeight="1" s="150">
      <c r="C128" s="109" t="n"/>
    </row>
    <row r="129" ht="15.75" customHeight="1" s="150">
      <c r="C129" s="109" t="n"/>
    </row>
    <row r="130" ht="15.75" customHeight="1" s="150">
      <c r="C130" s="109" t="n"/>
    </row>
    <row r="131" ht="15.75" customHeight="1" s="150">
      <c r="C131" s="109" t="n"/>
    </row>
    <row r="132" ht="15.75" customHeight="1" s="150">
      <c r="C132" s="109" t="n"/>
    </row>
    <row r="133" ht="15.75" customHeight="1" s="150">
      <c r="C133" s="109" t="n"/>
    </row>
    <row r="134" ht="15.75" customHeight="1" s="150">
      <c r="C134" s="109" t="n"/>
    </row>
    <row r="135" ht="15.75" customHeight="1" s="150">
      <c r="C135" s="109" t="n"/>
    </row>
    <row r="136" ht="15.75" customHeight="1" s="150">
      <c r="C136" s="109" t="n"/>
    </row>
    <row r="137" ht="15.75" customHeight="1" s="150">
      <c r="C137" s="109" t="n"/>
    </row>
    <row r="138" ht="15.75" customHeight="1" s="150">
      <c r="C138" s="109" t="n"/>
    </row>
    <row r="139" ht="15.75" customHeight="1" s="150">
      <c r="C139" s="109" t="n"/>
    </row>
    <row r="140" ht="15.75" customHeight="1" s="150">
      <c r="C140" s="109" t="n"/>
    </row>
    <row r="141" ht="15.75" customHeight="1" s="150">
      <c r="C141" s="109" t="n"/>
    </row>
    <row r="142" ht="15.75" customHeight="1" s="150">
      <c r="C142" s="109" t="n"/>
    </row>
    <row r="143" ht="15.75" customHeight="1" s="150">
      <c r="C143" s="109" t="n"/>
    </row>
    <row r="144" ht="15.75" customHeight="1" s="150">
      <c r="C144" s="109" t="n"/>
    </row>
    <row r="145" ht="15.75" customHeight="1" s="150">
      <c r="C145" s="109" t="n"/>
    </row>
    <row r="146" ht="15.75" customHeight="1" s="150">
      <c r="C146" s="109" t="n"/>
    </row>
    <row r="147" ht="15.75" customHeight="1" s="150">
      <c r="C147" s="109" t="n"/>
    </row>
    <row r="148" ht="15.75" customHeight="1" s="150">
      <c r="C148" s="109" t="n"/>
    </row>
    <row r="149" ht="15.75" customHeight="1" s="150">
      <c r="C149" s="109" t="n"/>
    </row>
    <row r="150" ht="15.75" customHeight="1" s="150">
      <c r="C150" s="109" t="n"/>
    </row>
    <row r="151" ht="15.75" customHeight="1" s="150">
      <c r="C151" s="109" t="n"/>
    </row>
    <row r="152" ht="15.75" customHeight="1" s="150">
      <c r="C152" s="109" t="n"/>
    </row>
    <row r="153" ht="15.75" customHeight="1" s="150">
      <c r="C153" s="109" t="n"/>
    </row>
    <row r="154" ht="15.75" customHeight="1" s="150">
      <c r="C154" s="109" t="n"/>
    </row>
    <row r="155" ht="15.75" customHeight="1" s="150">
      <c r="C155" s="109" t="n"/>
    </row>
    <row r="156" ht="15.75" customHeight="1" s="150">
      <c r="C156" s="109" t="n"/>
    </row>
    <row r="157" ht="15.75" customHeight="1" s="150">
      <c r="C157" s="109" t="n"/>
    </row>
    <row r="158" ht="15.75" customHeight="1" s="150">
      <c r="C158" s="109" t="n"/>
    </row>
    <row r="159" ht="15.75" customHeight="1" s="150">
      <c r="C159" s="109" t="n"/>
    </row>
    <row r="160" ht="15.75" customHeight="1" s="150">
      <c r="C160" s="109" t="n"/>
    </row>
    <row r="161" ht="15.75" customHeight="1" s="150">
      <c r="C161" s="109" t="n"/>
    </row>
    <row r="162" ht="15.75" customHeight="1" s="150">
      <c r="C162" s="109" t="n"/>
    </row>
    <row r="163" ht="15.75" customHeight="1" s="150">
      <c r="C163" s="109" t="n"/>
    </row>
    <row r="164" ht="15.75" customHeight="1" s="150">
      <c r="C164" s="109" t="n"/>
    </row>
    <row r="165" ht="15.75" customHeight="1" s="150">
      <c r="C165" s="109" t="n"/>
    </row>
    <row r="166" ht="15.75" customHeight="1" s="150">
      <c r="C166" s="109" t="n"/>
    </row>
    <row r="167" ht="15.75" customHeight="1" s="150">
      <c r="C167" s="109" t="n"/>
    </row>
    <row r="168" ht="15.75" customHeight="1" s="150">
      <c r="C168" s="109" t="n"/>
    </row>
    <row r="169" ht="15.75" customHeight="1" s="150">
      <c r="C169" s="109" t="n"/>
    </row>
    <row r="170" ht="15.75" customHeight="1" s="150">
      <c r="C170" s="109" t="n"/>
    </row>
    <row r="171" ht="15.75" customHeight="1" s="150">
      <c r="C171" s="109" t="n"/>
    </row>
    <row r="172" ht="15.75" customHeight="1" s="150">
      <c r="C172" s="109" t="n"/>
    </row>
    <row r="173" ht="15.75" customHeight="1" s="150">
      <c r="C173" s="109" t="n"/>
    </row>
    <row r="174" ht="15.75" customHeight="1" s="150">
      <c r="C174" s="109" t="n"/>
    </row>
    <row r="175" ht="15.75" customHeight="1" s="150">
      <c r="C175" s="109" t="n"/>
    </row>
    <row r="176" ht="15.75" customHeight="1" s="150">
      <c r="C176" s="109" t="n"/>
    </row>
    <row r="177" ht="15.75" customHeight="1" s="150">
      <c r="C177" s="109" t="n"/>
    </row>
    <row r="178" ht="15.75" customHeight="1" s="150">
      <c r="C178" s="109" t="n"/>
    </row>
    <row r="179" ht="15.75" customHeight="1" s="150">
      <c r="C179" s="109" t="n"/>
    </row>
    <row r="180" ht="15.75" customHeight="1" s="150">
      <c r="C180" s="109" t="n"/>
    </row>
    <row r="181" ht="15.75" customHeight="1" s="150">
      <c r="C181" s="109" t="n"/>
    </row>
    <row r="182" ht="15.75" customHeight="1" s="150">
      <c r="C182" s="109" t="n"/>
    </row>
    <row r="183" ht="15.75" customHeight="1" s="150">
      <c r="C183" s="109" t="n"/>
    </row>
    <row r="184" ht="15.75" customHeight="1" s="150">
      <c r="C184" s="109" t="n"/>
    </row>
    <row r="185" ht="15.75" customHeight="1" s="150">
      <c r="C185" s="109" t="n"/>
    </row>
    <row r="186" ht="15.75" customHeight="1" s="150">
      <c r="C186" s="109" t="n"/>
    </row>
    <row r="187" ht="15.75" customHeight="1" s="150">
      <c r="C187" s="109" t="n"/>
    </row>
    <row r="188" ht="15.75" customHeight="1" s="150">
      <c r="C188" s="109" t="n"/>
    </row>
    <row r="189" ht="15.75" customHeight="1" s="150">
      <c r="C189" s="109" t="n"/>
    </row>
    <row r="190" ht="15.75" customHeight="1" s="150">
      <c r="C190" s="109" t="n"/>
    </row>
    <row r="191" ht="15.75" customHeight="1" s="150">
      <c r="C191" s="109" t="n"/>
    </row>
    <row r="192" ht="15.75" customHeight="1" s="150">
      <c r="C192" s="109" t="n"/>
    </row>
    <row r="193" ht="15.75" customHeight="1" s="150">
      <c r="C193" s="109" t="n"/>
    </row>
    <row r="194" ht="15.75" customHeight="1" s="150">
      <c r="C194" s="109" t="n"/>
    </row>
    <row r="195" ht="15.75" customHeight="1" s="150">
      <c r="C195" s="109" t="n"/>
    </row>
    <row r="196" ht="15.75" customHeight="1" s="150">
      <c r="C196" s="109" t="n"/>
    </row>
    <row r="197" ht="15.75" customHeight="1" s="150">
      <c r="C197" s="109" t="n"/>
    </row>
    <row r="198" ht="15.75" customHeight="1" s="150">
      <c r="C198" s="109" t="n"/>
    </row>
    <row r="199" ht="15.75" customHeight="1" s="150">
      <c r="C199" s="109" t="n"/>
    </row>
    <row r="200" ht="15.75" customHeight="1" s="150">
      <c r="C200" s="109" t="n"/>
    </row>
    <row r="201" ht="15.75" customHeight="1" s="150">
      <c r="C201" s="109" t="n"/>
    </row>
    <row r="202" ht="15.75" customHeight="1" s="150">
      <c r="C202" s="109" t="n"/>
    </row>
    <row r="203" ht="15.75" customHeight="1" s="150">
      <c r="C203" s="109" t="n"/>
    </row>
    <row r="204" ht="15.75" customHeight="1" s="150">
      <c r="C204" s="109" t="n"/>
    </row>
    <row r="205" ht="15.75" customHeight="1" s="150">
      <c r="C205" s="109" t="n"/>
    </row>
    <row r="206" ht="15.75" customHeight="1" s="150">
      <c r="C206" s="109" t="n"/>
    </row>
    <row r="207" ht="15.75" customHeight="1" s="150">
      <c r="C207" s="109" t="n"/>
    </row>
    <row r="208" ht="15.75" customHeight="1" s="150">
      <c r="C208" s="109" t="n"/>
    </row>
    <row r="209" ht="15.75" customHeight="1" s="150">
      <c r="C209" s="109" t="n"/>
    </row>
    <row r="210" ht="15.75" customHeight="1" s="150">
      <c r="C210" s="109" t="n"/>
    </row>
    <row r="211" ht="15.75" customHeight="1" s="150">
      <c r="C211" s="109" t="n"/>
    </row>
    <row r="212" ht="15.75" customHeight="1" s="150">
      <c r="C212" s="109" t="n"/>
    </row>
    <row r="213" ht="15.75" customHeight="1" s="150">
      <c r="C213" s="109" t="n"/>
    </row>
    <row r="214" ht="15.75" customHeight="1" s="150">
      <c r="C214" s="109" t="n"/>
    </row>
    <row r="215" ht="15.75" customHeight="1" s="150">
      <c r="C215" s="109" t="n"/>
    </row>
    <row r="216" ht="15.75" customHeight="1" s="150">
      <c r="C216" s="109" t="n"/>
    </row>
    <row r="217" ht="15.75" customHeight="1" s="150">
      <c r="C217" s="109" t="n"/>
    </row>
    <row r="218" ht="15.75" customHeight="1" s="150">
      <c r="C218" s="109" t="n"/>
    </row>
    <row r="219" ht="15.75" customHeight="1" s="150">
      <c r="C219" s="109" t="n"/>
    </row>
    <row r="220" ht="15.75" customHeight="1" s="150">
      <c r="C220" s="109" t="n"/>
    </row>
    <row r="221" ht="15.75" customHeight="1" s="150">
      <c r="C221" s="109" t="n"/>
    </row>
    <row r="222" ht="15.75" customHeight="1" s="150">
      <c r="C222" s="109" t="n"/>
    </row>
    <row r="223" ht="15.75" customHeight="1" s="150">
      <c r="C223" s="109" t="n"/>
    </row>
    <row r="224" ht="15.75" customHeight="1" s="150">
      <c r="C224" s="109" t="n"/>
    </row>
    <row r="225" ht="15.75" customHeight="1" s="150">
      <c r="C225" s="109" t="n"/>
    </row>
    <row r="226" ht="15.75" customHeight="1" s="150">
      <c r="C226" s="109" t="n"/>
    </row>
    <row r="227" ht="15.75" customHeight="1" s="150">
      <c r="C227" s="109" t="n"/>
    </row>
    <row r="228" ht="15.75" customHeight="1" s="150">
      <c r="C228" s="109" t="n"/>
    </row>
    <row r="229" ht="15.75" customHeight="1" s="150">
      <c r="C229" s="109" t="n"/>
    </row>
    <row r="230" ht="15.75" customHeight="1" s="150">
      <c r="C230" s="109" t="n"/>
    </row>
    <row r="231" ht="15.75" customHeight="1" s="150">
      <c r="C231" s="109" t="n"/>
    </row>
    <row r="232" ht="15.75" customHeight="1" s="150">
      <c r="C232" s="109" t="n"/>
    </row>
    <row r="233" ht="15.75" customHeight="1" s="150">
      <c r="C233" s="109" t="n"/>
    </row>
    <row r="234" ht="15.75" customHeight="1" s="150">
      <c r="C234" s="109" t="n"/>
    </row>
    <row r="235" ht="15.75" customHeight="1" s="150">
      <c r="C235" s="109" t="n"/>
    </row>
    <row r="236" ht="15.75" customHeight="1" s="150">
      <c r="C236" s="109" t="n"/>
    </row>
    <row r="237" ht="15.75" customHeight="1" s="150">
      <c r="C237" s="109" t="n"/>
    </row>
    <row r="238" ht="15.75" customHeight="1" s="150">
      <c r="C238" s="109" t="n"/>
    </row>
    <row r="239" ht="15.75" customHeight="1" s="150">
      <c r="C239" s="109" t="n"/>
    </row>
    <row r="240" ht="15.75" customHeight="1" s="150">
      <c r="C240" s="109" t="n"/>
    </row>
    <row r="241" ht="15.75" customHeight="1" s="150">
      <c r="C241" s="109" t="n"/>
    </row>
    <row r="242" ht="15.75" customHeight="1" s="150">
      <c r="C242" s="109" t="n"/>
    </row>
    <row r="243" ht="15.75" customHeight="1" s="150">
      <c r="C243" s="109" t="n"/>
    </row>
    <row r="244" ht="15.75" customHeight="1" s="150">
      <c r="C244" s="109" t="n"/>
    </row>
    <row r="245" ht="15.75" customHeight="1" s="150">
      <c r="C245" s="109" t="n"/>
    </row>
    <row r="246" ht="15.75" customHeight="1" s="150">
      <c r="C246" s="109" t="n"/>
    </row>
    <row r="247" ht="15.75" customHeight="1" s="150">
      <c r="C247" s="109" t="n"/>
    </row>
    <row r="248" ht="15.75" customHeight="1" s="150">
      <c r="C248" s="109" t="n"/>
    </row>
    <row r="249" ht="15.75" customHeight="1" s="150">
      <c r="C249" s="109" t="n"/>
    </row>
    <row r="250" ht="15.75" customHeight="1" s="150">
      <c r="C250" s="109" t="n"/>
    </row>
    <row r="251" ht="15.75" customHeight="1" s="150">
      <c r="C251" s="109" t="n"/>
    </row>
    <row r="252" ht="15.75" customHeight="1" s="150">
      <c r="C252" s="109" t="n"/>
    </row>
    <row r="253" ht="15.75" customHeight="1" s="150">
      <c r="C253" s="109" t="n"/>
    </row>
    <row r="254" ht="15.75" customHeight="1" s="150">
      <c r="C254" s="109" t="n"/>
    </row>
    <row r="255" ht="15.75" customHeight="1" s="150">
      <c r="C255" s="109" t="n"/>
    </row>
    <row r="256" ht="15.75" customHeight="1" s="150">
      <c r="C256" s="109" t="n"/>
    </row>
    <row r="257" ht="15.75" customHeight="1" s="150">
      <c r="C257" s="109" t="n"/>
    </row>
    <row r="258" ht="15.75" customHeight="1" s="150">
      <c r="C258" s="109" t="n"/>
    </row>
    <row r="259" ht="15.75" customHeight="1" s="150">
      <c r="C259" s="109" t="n"/>
    </row>
    <row r="260" ht="15.75" customHeight="1" s="150">
      <c r="C260" s="109" t="n"/>
    </row>
    <row r="261" ht="15.75" customHeight="1" s="150">
      <c r="C261" s="109" t="n"/>
    </row>
    <row r="262" ht="15.75" customHeight="1" s="150">
      <c r="C262" s="109" t="n"/>
    </row>
    <row r="263" ht="15.75" customHeight="1" s="150">
      <c r="C263" s="109" t="n"/>
    </row>
    <row r="264" ht="15.75" customHeight="1" s="150">
      <c r="C264" s="109" t="n"/>
    </row>
    <row r="265" ht="15.75" customHeight="1" s="150">
      <c r="C265" s="109" t="n"/>
    </row>
    <row r="266" ht="15.75" customHeight="1" s="150">
      <c r="C266" s="109" t="n"/>
    </row>
    <row r="267" ht="15.75" customHeight="1" s="150">
      <c r="C267" s="109" t="n"/>
    </row>
    <row r="268" ht="15.75" customHeight="1" s="150">
      <c r="C268" s="109" t="n"/>
    </row>
    <row r="269" ht="15.75" customHeight="1" s="150">
      <c r="C269" s="109" t="n"/>
    </row>
    <row r="270" ht="15.75" customHeight="1" s="150">
      <c r="C270" s="109" t="n"/>
    </row>
    <row r="271" ht="15.75" customHeight="1" s="150">
      <c r="C271" s="109" t="n"/>
    </row>
    <row r="272" ht="15.75" customHeight="1" s="150">
      <c r="C272" s="109" t="n"/>
    </row>
    <row r="273" ht="15.75" customHeight="1" s="150">
      <c r="C273" s="109" t="n"/>
    </row>
    <row r="274" ht="15.75" customHeight="1" s="150">
      <c r="C274" s="109" t="n"/>
    </row>
    <row r="275" ht="15.75" customHeight="1" s="150">
      <c r="C275" s="109" t="n"/>
    </row>
    <row r="276" ht="15.75" customHeight="1" s="150">
      <c r="C276" s="109" t="n"/>
    </row>
    <row r="277" ht="15.75" customHeight="1" s="150">
      <c r="C277" s="109" t="n"/>
    </row>
    <row r="278" ht="15.75" customHeight="1" s="150">
      <c r="C278" s="109" t="n"/>
    </row>
    <row r="279" ht="15.75" customHeight="1" s="150">
      <c r="C279" s="109" t="n"/>
    </row>
    <row r="280" ht="15.75" customHeight="1" s="150">
      <c r="C280" s="109" t="n"/>
    </row>
    <row r="281" ht="15.75" customHeight="1" s="150">
      <c r="C281" s="109" t="n"/>
    </row>
    <row r="282" ht="15.75" customHeight="1" s="150">
      <c r="C282" s="109" t="n"/>
    </row>
    <row r="283" ht="15.75" customHeight="1" s="150">
      <c r="C283" s="109" t="n"/>
    </row>
    <row r="284" ht="15.75" customHeight="1" s="150">
      <c r="C284" s="109" t="n"/>
    </row>
    <row r="285" ht="15.75" customHeight="1" s="150">
      <c r="C285" s="109" t="n"/>
    </row>
    <row r="286" ht="15.75" customHeight="1" s="150">
      <c r="C286" s="109" t="n"/>
    </row>
    <row r="287" ht="15.75" customHeight="1" s="150">
      <c r="C287" s="109" t="n"/>
    </row>
    <row r="288" ht="15.75" customHeight="1" s="150">
      <c r="C288" s="109" t="n"/>
    </row>
    <row r="289" ht="15.75" customHeight="1" s="150">
      <c r="C289" s="109" t="n"/>
    </row>
    <row r="290" ht="15.75" customHeight="1" s="150">
      <c r="C290" s="109" t="n"/>
    </row>
    <row r="291" ht="15.75" customHeight="1" s="150">
      <c r="C291" s="109" t="n"/>
    </row>
    <row r="292" ht="15.75" customHeight="1" s="150">
      <c r="C292" s="109" t="n"/>
    </row>
    <row r="293" ht="15.75" customHeight="1" s="150">
      <c r="C293" s="109" t="n"/>
    </row>
    <row r="294" ht="15.75" customHeight="1" s="150">
      <c r="C294" s="109" t="n"/>
    </row>
    <row r="295" ht="15.75" customHeight="1" s="150">
      <c r="C295" s="109" t="n"/>
    </row>
    <row r="296" ht="15.75" customHeight="1" s="150">
      <c r="C296" s="109" t="n"/>
    </row>
    <row r="297" ht="15.75" customHeight="1" s="150">
      <c r="C297" s="109" t="n"/>
    </row>
    <row r="298" ht="15.75" customHeight="1" s="150">
      <c r="C298" s="109" t="n"/>
    </row>
    <row r="299" ht="15.75" customHeight="1" s="150">
      <c r="C299" s="109" t="n"/>
    </row>
    <row r="300" ht="15.75" customHeight="1" s="150">
      <c r="C300" s="109" t="n"/>
    </row>
    <row r="301" ht="15.75" customHeight="1" s="150">
      <c r="C301" s="109" t="n"/>
    </row>
    <row r="302" ht="15.75" customHeight="1" s="150">
      <c r="C302" s="109" t="n"/>
    </row>
    <row r="303" ht="15.75" customHeight="1" s="150">
      <c r="C303" s="109" t="n"/>
    </row>
    <row r="304" ht="15.75" customHeight="1" s="150">
      <c r="C304" s="109" t="n"/>
    </row>
    <row r="305" ht="15.75" customHeight="1" s="150">
      <c r="C305" s="109" t="n"/>
    </row>
    <row r="306" ht="15.75" customHeight="1" s="150">
      <c r="C306" s="109" t="n"/>
    </row>
    <row r="307" ht="15.75" customHeight="1" s="150">
      <c r="C307" s="109" t="n"/>
    </row>
    <row r="308" ht="15.75" customHeight="1" s="150">
      <c r="C308" s="109" t="n"/>
    </row>
    <row r="309" ht="15.75" customHeight="1" s="150">
      <c r="C309" s="109" t="n"/>
    </row>
    <row r="310" ht="15.75" customHeight="1" s="150">
      <c r="C310" s="109" t="n"/>
    </row>
    <row r="311" ht="15.75" customHeight="1" s="150">
      <c r="C311" s="109" t="n"/>
    </row>
    <row r="312" ht="15.75" customHeight="1" s="150">
      <c r="C312" s="109" t="n"/>
    </row>
    <row r="313" ht="15.75" customHeight="1" s="150">
      <c r="C313" s="109" t="n"/>
    </row>
    <row r="314" ht="15.75" customHeight="1" s="150">
      <c r="C314" s="109" t="n"/>
    </row>
    <row r="315" ht="15.75" customHeight="1" s="150">
      <c r="C315" s="109" t="n"/>
    </row>
    <row r="316" ht="15.75" customHeight="1" s="150">
      <c r="C316" s="109" t="n"/>
    </row>
    <row r="317" ht="15.75" customHeight="1" s="150">
      <c r="C317" s="109" t="n"/>
    </row>
    <row r="318" ht="15.75" customHeight="1" s="150">
      <c r="C318" s="109" t="n"/>
    </row>
    <row r="319" ht="15.75" customHeight="1" s="150">
      <c r="C319" s="109" t="n"/>
    </row>
    <row r="320" ht="15.75" customHeight="1" s="150">
      <c r="C320" s="109" t="n"/>
    </row>
    <row r="321" ht="15.75" customHeight="1" s="150">
      <c r="C321" s="109" t="n"/>
    </row>
    <row r="322" ht="15.75" customHeight="1" s="150">
      <c r="C322" s="109" t="n"/>
    </row>
    <row r="323" ht="15.75" customHeight="1" s="150">
      <c r="C323" s="109" t="n"/>
    </row>
    <row r="324" ht="15.75" customHeight="1" s="150">
      <c r="C324" s="109" t="n"/>
    </row>
    <row r="325" ht="15.75" customHeight="1" s="150">
      <c r="C325" s="109" t="n"/>
    </row>
    <row r="326" ht="15.75" customHeight="1" s="150">
      <c r="C326" s="109" t="n"/>
    </row>
    <row r="327" ht="15.75" customHeight="1" s="150">
      <c r="C327" s="109" t="n"/>
    </row>
    <row r="328" ht="15.75" customHeight="1" s="150">
      <c r="C328" s="109" t="n"/>
    </row>
    <row r="329" ht="15.75" customHeight="1" s="150">
      <c r="C329" s="109" t="n"/>
    </row>
    <row r="330" ht="15.75" customHeight="1" s="150">
      <c r="C330" s="109" t="n"/>
    </row>
    <row r="331" ht="15.75" customHeight="1" s="150">
      <c r="C331" s="109" t="n"/>
    </row>
    <row r="332" ht="15.75" customHeight="1" s="150">
      <c r="C332" s="109" t="n"/>
    </row>
    <row r="333" ht="15.75" customHeight="1" s="150">
      <c r="C333" s="109" t="n"/>
    </row>
    <row r="334" ht="15.75" customHeight="1" s="150">
      <c r="C334" s="109" t="n"/>
    </row>
    <row r="335" ht="15.75" customHeight="1" s="150">
      <c r="C335" s="109" t="n"/>
    </row>
    <row r="336" ht="15.75" customHeight="1" s="150">
      <c r="C336" s="109" t="n"/>
    </row>
    <row r="337" ht="15.75" customHeight="1" s="150">
      <c r="C337" s="109" t="n"/>
    </row>
    <row r="338" ht="15.75" customHeight="1" s="150">
      <c r="C338" s="109" t="n"/>
    </row>
    <row r="339" ht="15.75" customHeight="1" s="150">
      <c r="C339" s="109" t="n"/>
    </row>
    <row r="340" ht="15.75" customHeight="1" s="150">
      <c r="C340" s="109" t="n"/>
    </row>
    <row r="341" ht="15.75" customHeight="1" s="150">
      <c r="C341" s="109" t="n"/>
    </row>
    <row r="342" ht="15.75" customHeight="1" s="150">
      <c r="C342" s="109" t="n"/>
    </row>
    <row r="343" ht="15.75" customHeight="1" s="150">
      <c r="C343" s="109" t="n"/>
    </row>
    <row r="344" ht="15.75" customHeight="1" s="150">
      <c r="C344" s="109" t="n"/>
    </row>
    <row r="345" ht="15.75" customHeight="1" s="150">
      <c r="C345" s="109" t="n"/>
    </row>
    <row r="346" ht="15.75" customHeight="1" s="150">
      <c r="C346" s="109" t="n"/>
    </row>
    <row r="347" ht="15.75" customHeight="1" s="150">
      <c r="C347" s="109" t="n"/>
    </row>
    <row r="348" ht="15.75" customHeight="1" s="150">
      <c r="C348" s="109" t="n"/>
    </row>
    <row r="349" ht="15.75" customHeight="1" s="150">
      <c r="C349" s="109" t="n"/>
    </row>
    <row r="350" ht="15.75" customHeight="1" s="150">
      <c r="C350" s="109" t="n"/>
    </row>
    <row r="351" ht="15.75" customHeight="1" s="150">
      <c r="C351" s="109" t="n"/>
    </row>
    <row r="352" ht="15.75" customHeight="1" s="150">
      <c r="C352" s="109" t="n"/>
    </row>
    <row r="353" ht="15.75" customHeight="1" s="150">
      <c r="C353" s="109" t="n"/>
    </row>
    <row r="354" ht="15.75" customHeight="1" s="150">
      <c r="C354" s="109" t="n"/>
    </row>
    <row r="355" ht="15.75" customHeight="1" s="150">
      <c r="C355" s="109" t="n"/>
    </row>
    <row r="356" ht="15.75" customHeight="1" s="150">
      <c r="C356" s="109" t="n"/>
    </row>
    <row r="357" ht="15.75" customHeight="1" s="150">
      <c r="C357" s="109" t="n"/>
    </row>
    <row r="358" ht="15.75" customHeight="1" s="150">
      <c r="C358" s="109" t="n"/>
    </row>
    <row r="359" ht="15.75" customHeight="1" s="150">
      <c r="C359" s="109" t="n"/>
    </row>
    <row r="360" ht="15.75" customHeight="1" s="150">
      <c r="C360" s="109" t="n"/>
    </row>
    <row r="361" ht="15.75" customHeight="1" s="150">
      <c r="C361" s="109" t="n"/>
    </row>
    <row r="362" ht="15.75" customHeight="1" s="150">
      <c r="C362" s="109" t="n"/>
    </row>
    <row r="363" ht="15.75" customHeight="1" s="150">
      <c r="C363" s="109" t="n"/>
    </row>
    <row r="364" ht="15.75" customHeight="1" s="150">
      <c r="C364" s="109" t="n"/>
    </row>
    <row r="365" ht="15.75" customHeight="1" s="150">
      <c r="C365" s="109" t="n"/>
    </row>
    <row r="366" ht="15.75" customHeight="1" s="150">
      <c r="C366" s="109" t="n"/>
    </row>
    <row r="367" ht="15.75" customHeight="1" s="150">
      <c r="C367" s="109" t="n"/>
    </row>
    <row r="368" ht="15.75" customHeight="1" s="150">
      <c r="C368" s="109" t="n"/>
    </row>
    <row r="369" ht="15.75" customHeight="1" s="150">
      <c r="C369" s="109" t="n"/>
    </row>
    <row r="370" ht="15.75" customHeight="1" s="150">
      <c r="C370" s="109" t="n"/>
    </row>
    <row r="371" ht="15.75" customHeight="1" s="150">
      <c r="C371" s="109" t="n"/>
    </row>
    <row r="372" ht="15.75" customHeight="1" s="150">
      <c r="C372" s="109" t="n"/>
    </row>
    <row r="373" ht="15.75" customHeight="1" s="150">
      <c r="C373" s="109" t="n"/>
    </row>
    <row r="374" ht="15.75" customHeight="1" s="150">
      <c r="C374" s="109" t="n"/>
    </row>
    <row r="375" ht="15.75" customHeight="1" s="150">
      <c r="C375" s="109" t="n"/>
    </row>
    <row r="376" ht="15.75" customHeight="1" s="150">
      <c r="C376" s="109" t="n"/>
    </row>
    <row r="377" ht="15.75" customHeight="1" s="150">
      <c r="C377" s="109" t="n"/>
    </row>
    <row r="378" ht="15.75" customHeight="1" s="150">
      <c r="C378" s="109" t="n"/>
    </row>
    <row r="379" ht="15.75" customHeight="1" s="150">
      <c r="C379" s="109" t="n"/>
    </row>
    <row r="380" ht="15.75" customHeight="1" s="150">
      <c r="C380" s="109" t="n"/>
    </row>
    <row r="381" ht="15.75" customHeight="1" s="150">
      <c r="C381" s="109" t="n"/>
    </row>
    <row r="382" ht="15.75" customHeight="1" s="150">
      <c r="C382" s="109" t="n"/>
    </row>
    <row r="383" ht="15.75" customHeight="1" s="150">
      <c r="C383" s="109" t="n"/>
    </row>
    <row r="384" ht="15.75" customHeight="1" s="150">
      <c r="C384" s="109" t="n"/>
    </row>
    <row r="385" ht="15.75" customHeight="1" s="150">
      <c r="C385" s="109" t="n"/>
    </row>
    <row r="386" ht="15.75" customHeight="1" s="150">
      <c r="C386" s="109" t="n"/>
    </row>
    <row r="387" ht="15.75" customHeight="1" s="150">
      <c r="C387" s="109" t="n"/>
    </row>
    <row r="388" ht="15.75" customHeight="1" s="150">
      <c r="C388" s="109" t="n"/>
    </row>
    <row r="389" ht="15.75" customHeight="1" s="150">
      <c r="C389" s="109" t="n"/>
    </row>
    <row r="390" ht="15.75" customHeight="1" s="150">
      <c r="C390" s="109" t="n"/>
    </row>
    <row r="391" ht="15.75" customHeight="1" s="150">
      <c r="C391" s="109" t="n"/>
    </row>
    <row r="392" ht="15.75" customHeight="1" s="150">
      <c r="C392" s="109" t="n"/>
    </row>
    <row r="393" ht="15.75" customHeight="1" s="150">
      <c r="C393" s="109" t="n"/>
    </row>
    <row r="394" ht="15.75" customHeight="1" s="150">
      <c r="C394" s="109" t="n"/>
    </row>
    <row r="395" ht="15.75" customHeight="1" s="150">
      <c r="C395" s="109" t="n"/>
    </row>
    <row r="396" ht="15.75" customHeight="1" s="150">
      <c r="C396" s="109" t="n"/>
    </row>
    <row r="397" ht="15.75" customHeight="1" s="150">
      <c r="C397" s="109" t="n"/>
    </row>
    <row r="398" ht="15.75" customHeight="1" s="150">
      <c r="C398" s="109" t="n"/>
    </row>
    <row r="399" ht="15.75" customHeight="1" s="150">
      <c r="C399" s="109" t="n"/>
    </row>
    <row r="400" ht="15.75" customHeight="1" s="150">
      <c r="C400" s="109" t="n"/>
    </row>
    <row r="401" ht="15.75" customHeight="1" s="150">
      <c r="C401" s="109" t="n"/>
    </row>
    <row r="402" ht="15.75" customHeight="1" s="150">
      <c r="C402" s="109" t="n"/>
    </row>
    <row r="403" ht="15.75" customHeight="1" s="150">
      <c r="C403" s="109" t="n"/>
    </row>
    <row r="404" ht="15.75" customHeight="1" s="150">
      <c r="C404" s="109" t="n"/>
    </row>
    <row r="405" ht="15.75" customHeight="1" s="150">
      <c r="C405" s="109" t="n"/>
    </row>
    <row r="406" ht="15.75" customHeight="1" s="150">
      <c r="C406" s="109" t="n"/>
    </row>
    <row r="407" ht="15.75" customHeight="1" s="150">
      <c r="C407" s="109" t="n"/>
    </row>
    <row r="408" ht="15.75" customHeight="1" s="150">
      <c r="C408" s="109" t="n"/>
    </row>
    <row r="409" ht="15.75" customHeight="1" s="150">
      <c r="C409" s="109" t="n"/>
    </row>
    <row r="410" ht="15.75" customHeight="1" s="150">
      <c r="C410" s="109" t="n"/>
    </row>
    <row r="411" ht="15.75" customHeight="1" s="150">
      <c r="C411" s="109" t="n"/>
    </row>
    <row r="412" ht="15.75" customHeight="1" s="150">
      <c r="C412" s="109" t="n"/>
    </row>
    <row r="413" ht="15.75" customHeight="1" s="150">
      <c r="C413" s="109" t="n"/>
    </row>
    <row r="414" ht="15.75" customHeight="1" s="150">
      <c r="C414" s="109" t="n"/>
    </row>
    <row r="415" ht="15.75" customHeight="1" s="150">
      <c r="C415" s="109" t="n"/>
    </row>
    <row r="416" ht="15.75" customHeight="1" s="150">
      <c r="C416" s="109" t="n"/>
    </row>
    <row r="417" ht="15.75" customHeight="1" s="150">
      <c r="C417" s="109" t="n"/>
    </row>
    <row r="418" ht="15.75" customHeight="1" s="150">
      <c r="C418" s="109" t="n"/>
    </row>
    <row r="419" ht="15.75" customHeight="1" s="150">
      <c r="C419" s="109" t="n"/>
    </row>
    <row r="420" ht="15.75" customHeight="1" s="150">
      <c r="C420" s="109" t="n"/>
    </row>
    <row r="421" ht="15.75" customHeight="1" s="150">
      <c r="C421" s="109" t="n"/>
    </row>
    <row r="422" ht="15.75" customHeight="1" s="150">
      <c r="C422" s="109" t="n"/>
    </row>
    <row r="423" ht="15.75" customHeight="1" s="150">
      <c r="C423" s="109" t="n"/>
    </row>
    <row r="424" ht="15.75" customHeight="1" s="150">
      <c r="C424" s="109" t="n"/>
    </row>
    <row r="425" ht="15.75" customHeight="1" s="150">
      <c r="C425" s="109" t="n"/>
    </row>
    <row r="426" ht="15.75" customHeight="1" s="150">
      <c r="C426" s="109" t="n"/>
    </row>
    <row r="427" ht="15.75" customHeight="1" s="150">
      <c r="C427" s="109" t="n"/>
    </row>
    <row r="428" ht="15.75" customHeight="1" s="150">
      <c r="C428" s="109" t="n"/>
    </row>
    <row r="429" ht="15.75" customHeight="1" s="150">
      <c r="C429" s="109" t="n"/>
    </row>
    <row r="430" ht="15.75" customHeight="1" s="150">
      <c r="C430" s="109" t="n"/>
    </row>
    <row r="431" ht="15.75" customHeight="1" s="150">
      <c r="C431" s="109" t="n"/>
    </row>
    <row r="432" ht="15.75" customHeight="1" s="150">
      <c r="C432" s="109" t="n"/>
    </row>
    <row r="433" ht="15.75" customHeight="1" s="150">
      <c r="C433" s="109" t="n"/>
    </row>
    <row r="434" ht="15.75" customHeight="1" s="150">
      <c r="C434" s="109" t="n"/>
    </row>
    <row r="435" ht="15.75" customHeight="1" s="150">
      <c r="C435" s="109" t="n"/>
    </row>
    <row r="436" ht="15.75" customHeight="1" s="150">
      <c r="C436" s="109" t="n"/>
    </row>
    <row r="437" ht="15.75" customHeight="1" s="150">
      <c r="C437" s="109" t="n"/>
    </row>
    <row r="438" ht="15.75" customHeight="1" s="150">
      <c r="C438" s="109" t="n"/>
    </row>
    <row r="439" ht="15.75" customHeight="1" s="150">
      <c r="C439" s="109" t="n"/>
    </row>
    <row r="440" ht="15.75" customHeight="1" s="150">
      <c r="C440" s="109" t="n"/>
    </row>
    <row r="441" ht="15.75" customHeight="1" s="150">
      <c r="C441" s="109" t="n"/>
    </row>
    <row r="442" ht="15.75" customHeight="1" s="150">
      <c r="C442" s="109" t="n"/>
    </row>
    <row r="443" ht="15.75" customHeight="1" s="150">
      <c r="C443" s="109" t="n"/>
    </row>
    <row r="444" ht="15.75" customHeight="1" s="150">
      <c r="C444" s="109" t="n"/>
    </row>
    <row r="445" ht="15.75" customHeight="1" s="150">
      <c r="C445" s="109" t="n"/>
    </row>
    <row r="446" ht="15.75" customHeight="1" s="150">
      <c r="C446" s="109" t="n"/>
    </row>
    <row r="447" ht="15.75" customHeight="1" s="150">
      <c r="C447" s="109" t="n"/>
    </row>
    <row r="448" ht="15.75" customHeight="1" s="150">
      <c r="C448" s="109" t="n"/>
    </row>
    <row r="449" ht="15.75" customHeight="1" s="150">
      <c r="C449" s="109" t="n"/>
    </row>
    <row r="450" ht="15.75" customHeight="1" s="150">
      <c r="C450" s="109" t="n"/>
    </row>
    <row r="451" ht="15.75" customHeight="1" s="150">
      <c r="C451" s="109" t="n"/>
    </row>
    <row r="452" ht="15.75" customHeight="1" s="150">
      <c r="C452" s="109" t="n"/>
    </row>
    <row r="453" ht="15.75" customHeight="1" s="150">
      <c r="C453" s="109" t="n"/>
    </row>
    <row r="454" ht="15.75" customHeight="1" s="150">
      <c r="C454" s="109" t="n"/>
    </row>
    <row r="455" ht="15.75" customHeight="1" s="150">
      <c r="C455" s="109" t="n"/>
    </row>
    <row r="456" ht="15.75" customHeight="1" s="150">
      <c r="C456" s="109" t="n"/>
    </row>
    <row r="457" ht="15.75" customHeight="1" s="150">
      <c r="C457" s="109" t="n"/>
    </row>
    <row r="458" ht="15.75" customHeight="1" s="150">
      <c r="C458" s="109" t="n"/>
    </row>
    <row r="459" ht="15.75" customHeight="1" s="150">
      <c r="C459" s="109" t="n"/>
    </row>
    <row r="460" ht="15.75" customHeight="1" s="150">
      <c r="C460" s="109" t="n"/>
    </row>
    <row r="461" ht="15.75" customHeight="1" s="150">
      <c r="C461" s="109" t="n"/>
    </row>
    <row r="462" ht="15.75" customHeight="1" s="150">
      <c r="C462" s="109" t="n"/>
    </row>
    <row r="463" ht="15.75" customHeight="1" s="150">
      <c r="C463" s="109" t="n"/>
    </row>
    <row r="464" ht="15.75" customHeight="1" s="150">
      <c r="C464" s="109" t="n"/>
    </row>
    <row r="465" ht="15.75" customHeight="1" s="150">
      <c r="C465" s="109" t="n"/>
    </row>
    <row r="466" ht="15.75" customHeight="1" s="150">
      <c r="C466" s="109" t="n"/>
    </row>
    <row r="467" ht="15.75" customHeight="1" s="150">
      <c r="C467" s="109" t="n"/>
    </row>
    <row r="468" ht="15.75" customHeight="1" s="150">
      <c r="C468" s="109" t="n"/>
    </row>
    <row r="469" ht="15.75" customHeight="1" s="150">
      <c r="C469" s="109" t="n"/>
    </row>
    <row r="470" ht="15.75" customHeight="1" s="150">
      <c r="C470" s="109" t="n"/>
    </row>
    <row r="471" ht="15.75" customHeight="1" s="150">
      <c r="C471" s="109" t="n"/>
    </row>
    <row r="472" ht="15.75" customHeight="1" s="150">
      <c r="C472" s="109" t="n"/>
    </row>
    <row r="473" ht="15.75" customHeight="1" s="150">
      <c r="C473" s="109" t="n"/>
    </row>
    <row r="474" ht="15.75" customHeight="1" s="150">
      <c r="C474" s="109" t="n"/>
    </row>
    <row r="475" ht="15.75" customHeight="1" s="150">
      <c r="C475" s="109" t="n"/>
    </row>
    <row r="476" ht="15.75" customHeight="1" s="150">
      <c r="C476" s="109" t="n"/>
    </row>
    <row r="477" ht="15.75" customHeight="1" s="150">
      <c r="C477" s="109" t="n"/>
    </row>
    <row r="478" ht="15.75" customHeight="1" s="150">
      <c r="C478" s="109" t="n"/>
    </row>
    <row r="479" ht="15.75" customHeight="1" s="150">
      <c r="C479" s="109" t="n"/>
    </row>
    <row r="480" ht="15.75" customHeight="1" s="150">
      <c r="C480" s="109" t="n"/>
    </row>
    <row r="481" ht="15.75" customHeight="1" s="150">
      <c r="C481" s="109" t="n"/>
    </row>
    <row r="482" ht="15.75" customHeight="1" s="150">
      <c r="C482" s="109" t="n"/>
    </row>
    <row r="483" ht="15.75" customHeight="1" s="150">
      <c r="C483" s="109" t="n"/>
    </row>
    <row r="484" ht="15.75" customHeight="1" s="150">
      <c r="C484" s="109" t="n"/>
    </row>
    <row r="485" ht="15.75" customHeight="1" s="150">
      <c r="C485" s="109" t="n"/>
    </row>
    <row r="486" ht="15.75" customHeight="1" s="150">
      <c r="C486" s="109" t="n"/>
    </row>
    <row r="487" ht="15.75" customHeight="1" s="150">
      <c r="C487" s="109" t="n"/>
    </row>
    <row r="488" ht="15.75" customHeight="1" s="150">
      <c r="C488" s="109" t="n"/>
    </row>
    <row r="489" ht="15.75" customHeight="1" s="150">
      <c r="C489" s="109" t="n"/>
    </row>
    <row r="490" ht="15.75" customHeight="1" s="150">
      <c r="C490" s="109" t="n"/>
    </row>
    <row r="491" ht="15.75" customHeight="1" s="150">
      <c r="C491" s="109" t="n"/>
    </row>
    <row r="492" ht="15.75" customHeight="1" s="150">
      <c r="C492" s="109" t="n"/>
    </row>
    <row r="493" ht="15.75" customHeight="1" s="150">
      <c r="C493" s="109" t="n"/>
    </row>
    <row r="494" ht="15.75" customHeight="1" s="150">
      <c r="C494" s="109" t="n"/>
    </row>
    <row r="495" ht="15.75" customHeight="1" s="150">
      <c r="C495" s="109" t="n"/>
    </row>
    <row r="496" ht="15.75" customHeight="1" s="150">
      <c r="C496" s="109" t="n"/>
    </row>
    <row r="497" ht="15.75" customHeight="1" s="150">
      <c r="C497" s="109" t="n"/>
    </row>
    <row r="498" ht="15.75" customHeight="1" s="150">
      <c r="C498" s="109" t="n"/>
    </row>
    <row r="499" ht="15.75" customHeight="1" s="150">
      <c r="C499" s="109" t="n"/>
    </row>
    <row r="500" ht="15.75" customHeight="1" s="150">
      <c r="C500" s="109" t="n"/>
    </row>
    <row r="501" ht="15.75" customHeight="1" s="150">
      <c r="C501" s="109" t="n"/>
    </row>
    <row r="502" ht="15.75" customHeight="1" s="150">
      <c r="C502" s="109" t="n"/>
    </row>
    <row r="503" ht="15.75" customHeight="1" s="150">
      <c r="C503" s="109" t="n"/>
    </row>
    <row r="504" ht="15.75" customHeight="1" s="150">
      <c r="C504" s="109" t="n"/>
    </row>
    <row r="505" ht="15.75" customHeight="1" s="150">
      <c r="C505" s="109" t="n"/>
    </row>
    <row r="506" ht="15.75" customHeight="1" s="150">
      <c r="C506" s="109" t="n"/>
    </row>
    <row r="507" ht="15.75" customHeight="1" s="150">
      <c r="C507" s="109" t="n"/>
    </row>
    <row r="508" ht="15.75" customHeight="1" s="150">
      <c r="C508" s="109" t="n"/>
    </row>
    <row r="509" ht="15.75" customHeight="1" s="150">
      <c r="C509" s="109" t="n"/>
    </row>
    <row r="510" ht="15.75" customHeight="1" s="150">
      <c r="C510" s="109" t="n"/>
    </row>
    <row r="511" ht="15.75" customHeight="1" s="150">
      <c r="C511" s="109" t="n"/>
    </row>
    <row r="512" ht="15.75" customHeight="1" s="150">
      <c r="C512" s="109" t="n"/>
    </row>
    <row r="513" ht="15.75" customHeight="1" s="150">
      <c r="C513" s="109" t="n"/>
    </row>
    <row r="514" ht="15.75" customHeight="1" s="150">
      <c r="C514" s="109" t="n"/>
    </row>
    <row r="515" ht="15.75" customHeight="1" s="150">
      <c r="C515" s="109" t="n"/>
    </row>
    <row r="516" ht="15.75" customHeight="1" s="150">
      <c r="C516" s="109" t="n"/>
    </row>
    <row r="517" ht="15.75" customHeight="1" s="150">
      <c r="C517" s="109" t="n"/>
    </row>
    <row r="518" ht="15.75" customHeight="1" s="150">
      <c r="C518" s="109" t="n"/>
    </row>
    <row r="519" ht="15.75" customHeight="1" s="150">
      <c r="C519" s="109" t="n"/>
    </row>
    <row r="520" ht="15.75" customHeight="1" s="150">
      <c r="C520" s="109" t="n"/>
    </row>
    <row r="521" ht="15.75" customHeight="1" s="150">
      <c r="C521" s="109" t="n"/>
    </row>
    <row r="522" ht="15.75" customHeight="1" s="150">
      <c r="C522" s="109" t="n"/>
    </row>
    <row r="523" ht="15.75" customHeight="1" s="150">
      <c r="C523" s="109" t="n"/>
    </row>
    <row r="524" ht="15.75" customHeight="1" s="150">
      <c r="C524" s="109" t="n"/>
    </row>
    <row r="525" ht="15.75" customHeight="1" s="150">
      <c r="C525" s="109" t="n"/>
    </row>
    <row r="526" ht="15.75" customHeight="1" s="150">
      <c r="C526" s="109" t="n"/>
    </row>
    <row r="527" ht="15.75" customHeight="1" s="150">
      <c r="C527" s="109" t="n"/>
    </row>
    <row r="528" ht="15.75" customHeight="1" s="150">
      <c r="C528" s="109" t="n"/>
    </row>
    <row r="529" ht="15.75" customHeight="1" s="150">
      <c r="C529" s="109" t="n"/>
    </row>
    <row r="530" ht="15.75" customHeight="1" s="150">
      <c r="C530" s="109" t="n"/>
    </row>
    <row r="531" ht="15.75" customHeight="1" s="150">
      <c r="C531" s="109" t="n"/>
    </row>
    <row r="532" ht="15.75" customHeight="1" s="150">
      <c r="C532" s="109" t="n"/>
    </row>
    <row r="533" ht="15.75" customHeight="1" s="150">
      <c r="C533" s="109" t="n"/>
    </row>
    <row r="534" ht="15.75" customHeight="1" s="150">
      <c r="C534" s="109" t="n"/>
    </row>
    <row r="535" ht="15.75" customHeight="1" s="150">
      <c r="C535" s="109" t="n"/>
    </row>
    <row r="536" ht="15.75" customHeight="1" s="150">
      <c r="C536" s="109" t="n"/>
    </row>
    <row r="537" ht="15.75" customHeight="1" s="150">
      <c r="C537" s="109" t="n"/>
    </row>
    <row r="538" ht="15.75" customHeight="1" s="150">
      <c r="C538" s="109" t="n"/>
    </row>
    <row r="539" ht="15.75" customHeight="1" s="150">
      <c r="C539" s="109" t="n"/>
    </row>
    <row r="540" ht="15.75" customHeight="1" s="150">
      <c r="C540" s="109" t="n"/>
    </row>
    <row r="541" ht="15.75" customHeight="1" s="150">
      <c r="C541" s="109" t="n"/>
    </row>
    <row r="542" ht="15.75" customHeight="1" s="150">
      <c r="C542" s="109" t="n"/>
    </row>
    <row r="543" ht="15.75" customHeight="1" s="150">
      <c r="C543" s="109" t="n"/>
    </row>
    <row r="544" ht="15.75" customHeight="1" s="150">
      <c r="C544" s="109" t="n"/>
    </row>
    <row r="545" ht="15.75" customHeight="1" s="150">
      <c r="C545" s="109" t="n"/>
    </row>
    <row r="546" ht="15.75" customHeight="1" s="150">
      <c r="C546" s="109" t="n"/>
    </row>
    <row r="547" ht="15.75" customHeight="1" s="150">
      <c r="C547" s="109" t="n"/>
    </row>
    <row r="548" ht="15.75" customHeight="1" s="150">
      <c r="C548" s="109" t="n"/>
    </row>
    <row r="549" ht="15.75" customHeight="1" s="150">
      <c r="C549" s="109" t="n"/>
    </row>
    <row r="550" ht="15.75" customHeight="1" s="150">
      <c r="C550" s="109" t="n"/>
    </row>
    <row r="551" ht="15.75" customHeight="1" s="150">
      <c r="C551" s="109" t="n"/>
    </row>
    <row r="552" ht="15.75" customHeight="1" s="150">
      <c r="C552" s="109" t="n"/>
    </row>
    <row r="553" ht="15.75" customHeight="1" s="150">
      <c r="C553" s="109" t="n"/>
    </row>
    <row r="554" ht="15.75" customHeight="1" s="150">
      <c r="C554" s="109" t="n"/>
    </row>
    <row r="555" ht="15.75" customHeight="1" s="150">
      <c r="C555" s="109" t="n"/>
    </row>
    <row r="556" ht="15.75" customHeight="1" s="150">
      <c r="C556" s="109" t="n"/>
    </row>
    <row r="557" ht="15.75" customHeight="1" s="150">
      <c r="C557" s="109" t="n"/>
    </row>
    <row r="558" ht="15.75" customHeight="1" s="150">
      <c r="C558" s="109" t="n"/>
    </row>
    <row r="559" ht="15.75" customHeight="1" s="150">
      <c r="C559" s="109" t="n"/>
    </row>
    <row r="560" ht="15.75" customHeight="1" s="150">
      <c r="C560" s="109" t="n"/>
    </row>
    <row r="561" ht="15.75" customHeight="1" s="150">
      <c r="C561" s="109" t="n"/>
    </row>
    <row r="562" ht="15.75" customHeight="1" s="150">
      <c r="C562" s="109" t="n"/>
    </row>
    <row r="563" ht="15.75" customHeight="1" s="150">
      <c r="C563" s="109" t="n"/>
    </row>
    <row r="564" ht="15.75" customHeight="1" s="150">
      <c r="C564" s="109" t="n"/>
    </row>
    <row r="565" ht="15.75" customHeight="1" s="150">
      <c r="C565" s="109" t="n"/>
    </row>
    <row r="566" ht="15.75" customHeight="1" s="150">
      <c r="C566" s="109" t="n"/>
    </row>
    <row r="567" ht="15.75" customHeight="1" s="150">
      <c r="C567" s="109" t="n"/>
    </row>
    <row r="568" ht="15.75" customHeight="1" s="150">
      <c r="C568" s="109" t="n"/>
    </row>
    <row r="569" ht="15.75" customHeight="1" s="150">
      <c r="C569" s="109" t="n"/>
    </row>
    <row r="570" ht="15.75" customHeight="1" s="150">
      <c r="C570" s="109" t="n"/>
    </row>
    <row r="571" ht="15.75" customHeight="1" s="150">
      <c r="C571" s="109" t="n"/>
    </row>
    <row r="572" ht="15.75" customHeight="1" s="150">
      <c r="C572" s="109" t="n"/>
    </row>
    <row r="573" ht="15.75" customHeight="1" s="150">
      <c r="C573" s="109" t="n"/>
    </row>
    <row r="574" ht="15.75" customHeight="1" s="150">
      <c r="C574" s="109" t="n"/>
    </row>
    <row r="575" ht="15.75" customHeight="1" s="150">
      <c r="C575" s="109" t="n"/>
    </row>
    <row r="576" ht="15.75" customHeight="1" s="150">
      <c r="C576" s="109" t="n"/>
    </row>
    <row r="577" ht="15.75" customHeight="1" s="150">
      <c r="C577" s="109" t="n"/>
    </row>
    <row r="578" ht="15.75" customHeight="1" s="150">
      <c r="C578" s="109" t="n"/>
    </row>
    <row r="579" ht="15.75" customHeight="1" s="150">
      <c r="C579" s="109" t="n"/>
    </row>
    <row r="580" ht="15.75" customHeight="1" s="150">
      <c r="C580" s="109" t="n"/>
    </row>
    <row r="581" ht="15.75" customHeight="1" s="150">
      <c r="C581" s="109" t="n"/>
    </row>
    <row r="582" ht="15.75" customHeight="1" s="150">
      <c r="C582" s="109" t="n"/>
    </row>
    <row r="583" ht="15.75" customHeight="1" s="150">
      <c r="C583" s="109" t="n"/>
    </row>
    <row r="584" ht="15.75" customHeight="1" s="150">
      <c r="C584" s="109" t="n"/>
    </row>
    <row r="585" ht="15.75" customHeight="1" s="150">
      <c r="C585" s="109" t="n"/>
    </row>
    <row r="586" ht="15.75" customHeight="1" s="150">
      <c r="C586" s="109" t="n"/>
    </row>
    <row r="587" ht="15.75" customHeight="1" s="150">
      <c r="C587" s="109" t="n"/>
    </row>
    <row r="588" ht="15.75" customHeight="1" s="150">
      <c r="C588" s="109" t="n"/>
    </row>
    <row r="589" ht="15.75" customHeight="1" s="150">
      <c r="C589" s="109" t="n"/>
    </row>
    <row r="590" ht="15.75" customHeight="1" s="150">
      <c r="C590" s="109" t="n"/>
    </row>
    <row r="591" ht="15.75" customHeight="1" s="150">
      <c r="C591" s="109" t="n"/>
    </row>
    <row r="592" ht="15.75" customHeight="1" s="150">
      <c r="C592" s="109" t="n"/>
    </row>
    <row r="593" ht="15.75" customHeight="1" s="150">
      <c r="C593" s="109" t="n"/>
    </row>
    <row r="594" ht="15.75" customHeight="1" s="150">
      <c r="C594" s="109" t="n"/>
    </row>
    <row r="595" ht="15.75" customHeight="1" s="150">
      <c r="C595" s="109" t="n"/>
    </row>
    <row r="596" ht="15.75" customHeight="1" s="150">
      <c r="C596" s="109" t="n"/>
    </row>
    <row r="597" ht="15.75" customHeight="1" s="150">
      <c r="C597" s="109" t="n"/>
    </row>
    <row r="598" ht="15.75" customHeight="1" s="150">
      <c r="C598" s="109" t="n"/>
    </row>
    <row r="599" ht="15.75" customHeight="1" s="150">
      <c r="C599" s="109" t="n"/>
    </row>
    <row r="600" ht="15.75" customHeight="1" s="150">
      <c r="C600" s="109" t="n"/>
    </row>
    <row r="601" ht="15.75" customHeight="1" s="150">
      <c r="C601" s="109" t="n"/>
    </row>
    <row r="602" ht="15.75" customHeight="1" s="150">
      <c r="C602" s="109" t="n"/>
    </row>
    <row r="603" ht="15.75" customHeight="1" s="150">
      <c r="C603" s="109" t="n"/>
    </row>
    <row r="604" ht="15.75" customHeight="1" s="150">
      <c r="C604" s="109" t="n"/>
    </row>
    <row r="605" ht="15.75" customHeight="1" s="150">
      <c r="C605" s="109" t="n"/>
    </row>
    <row r="606" ht="15.75" customHeight="1" s="150">
      <c r="C606" s="109" t="n"/>
    </row>
    <row r="607" ht="15.75" customHeight="1" s="150">
      <c r="C607" s="109" t="n"/>
    </row>
    <row r="608" ht="15.75" customHeight="1" s="150">
      <c r="C608" s="109" t="n"/>
    </row>
    <row r="609" ht="15.75" customHeight="1" s="150">
      <c r="C609" s="109" t="n"/>
    </row>
    <row r="610" ht="15.75" customHeight="1" s="150">
      <c r="C610" s="109" t="n"/>
    </row>
    <row r="611" ht="15.75" customHeight="1" s="150">
      <c r="C611" s="109" t="n"/>
    </row>
    <row r="612" ht="15.75" customHeight="1" s="150">
      <c r="C612" s="109" t="n"/>
    </row>
    <row r="613" ht="15.75" customHeight="1" s="150">
      <c r="C613" s="109" t="n"/>
    </row>
    <row r="614" ht="15.75" customHeight="1" s="150">
      <c r="C614" s="109" t="n"/>
    </row>
    <row r="615" ht="15.75" customHeight="1" s="150">
      <c r="C615" s="109" t="n"/>
    </row>
    <row r="616" ht="15.75" customHeight="1" s="150">
      <c r="C616" s="109" t="n"/>
    </row>
    <row r="617" ht="15.75" customHeight="1" s="150">
      <c r="C617" s="109" t="n"/>
    </row>
    <row r="618" ht="15.75" customHeight="1" s="150">
      <c r="C618" s="109" t="n"/>
    </row>
    <row r="619" ht="15.75" customHeight="1" s="150">
      <c r="C619" s="109" t="n"/>
    </row>
    <row r="620" ht="15.75" customHeight="1" s="150">
      <c r="C620" s="109" t="n"/>
    </row>
    <row r="621" ht="15.75" customHeight="1" s="150">
      <c r="C621" s="109" t="n"/>
    </row>
    <row r="622" ht="15.75" customHeight="1" s="150">
      <c r="C622" s="109" t="n"/>
    </row>
    <row r="623" ht="15.75" customHeight="1" s="150">
      <c r="C623" s="109" t="n"/>
    </row>
    <row r="624" ht="15.75" customHeight="1" s="150">
      <c r="C624" s="109" t="n"/>
    </row>
    <row r="625" ht="15.75" customHeight="1" s="150">
      <c r="C625" s="109" t="n"/>
    </row>
    <row r="626" ht="15.75" customHeight="1" s="150">
      <c r="C626" s="109" t="n"/>
    </row>
    <row r="627" ht="15.75" customHeight="1" s="150">
      <c r="C627" s="109" t="n"/>
    </row>
    <row r="628" ht="15.75" customHeight="1" s="150">
      <c r="C628" s="109" t="n"/>
    </row>
    <row r="629" ht="15.75" customHeight="1" s="150">
      <c r="C629" s="109" t="n"/>
    </row>
    <row r="630" ht="15.75" customHeight="1" s="150">
      <c r="C630" s="109" t="n"/>
    </row>
    <row r="631" ht="15.75" customHeight="1" s="150">
      <c r="C631" s="109" t="n"/>
    </row>
    <row r="632" ht="15.75" customHeight="1" s="150">
      <c r="C632" s="109" t="n"/>
    </row>
    <row r="633" ht="15.75" customHeight="1" s="150">
      <c r="C633" s="109" t="n"/>
    </row>
    <row r="634" ht="15.75" customHeight="1" s="150">
      <c r="C634" s="109" t="n"/>
    </row>
    <row r="635" ht="15.75" customHeight="1" s="150">
      <c r="C635" s="109" t="n"/>
    </row>
    <row r="636" ht="15.75" customHeight="1" s="150">
      <c r="C636" s="109" t="n"/>
    </row>
    <row r="637" ht="15.75" customHeight="1" s="150">
      <c r="C637" s="109" t="n"/>
    </row>
    <row r="638" ht="15.75" customHeight="1" s="150">
      <c r="C638" s="109" t="n"/>
    </row>
    <row r="639" ht="15.75" customHeight="1" s="150">
      <c r="C639" s="109" t="n"/>
    </row>
    <row r="640" ht="15.75" customHeight="1" s="150">
      <c r="C640" s="109" t="n"/>
    </row>
    <row r="641" ht="15.75" customHeight="1" s="150">
      <c r="C641" s="109" t="n"/>
    </row>
    <row r="642" ht="15.75" customHeight="1" s="150">
      <c r="C642" s="109" t="n"/>
    </row>
    <row r="643" ht="15.75" customHeight="1" s="150">
      <c r="C643" s="109" t="n"/>
    </row>
    <row r="644" ht="15.75" customHeight="1" s="150">
      <c r="C644" s="109" t="n"/>
    </row>
    <row r="645" ht="15.75" customHeight="1" s="150">
      <c r="C645" s="109" t="n"/>
    </row>
    <row r="646" ht="15.75" customHeight="1" s="150">
      <c r="C646" s="109" t="n"/>
    </row>
    <row r="647" ht="15.75" customHeight="1" s="150">
      <c r="C647" s="109" t="n"/>
    </row>
    <row r="648" ht="15.75" customHeight="1" s="150">
      <c r="C648" s="109" t="n"/>
    </row>
    <row r="649" ht="15.75" customHeight="1" s="150">
      <c r="C649" s="109" t="n"/>
    </row>
    <row r="650" ht="15.75" customHeight="1" s="150">
      <c r="C650" s="109" t="n"/>
    </row>
    <row r="651" ht="15.75" customHeight="1" s="150">
      <c r="C651" s="109" t="n"/>
    </row>
    <row r="652" ht="15.75" customHeight="1" s="150">
      <c r="C652" s="109" t="n"/>
    </row>
    <row r="653" ht="15.75" customHeight="1" s="150">
      <c r="C653" s="109" t="n"/>
    </row>
    <row r="654" ht="15.75" customHeight="1" s="150">
      <c r="C654" s="109" t="n"/>
    </row>
    <row r="655" ht="15.75" customHeight="1" s="150">
      <c r="C655" s="109" t="n"/>
    </row>
    <row r="656" ht="15.75" customHeight="1" s="150">
      <c r="C656" s="109" t="n"/>
    </row>
    <row r="657" ht="15.75" customHeight="1" s="150">
      <c r="C657" s="109" t="n"/>
    </row>
    <row r="658" ht="15.75" customHeight="1" s="150">
      <c r="C658" s="109" t="n"/>
    </row>
    <row r="659" ht="15.75" customHeight="1" s="150">
      <c r="C659" s="109" t="n"/>
    </row>
    <row r="660" ht="15.75" customHeight="1" s="150">
      <c r="C660" s="109" t="n"/>
    </row>
    <row r="661" ht="15.75" customHeight="1" s="150">
      <c r="C661" s="109" t="n"/>
    </row>
    <row r="662" ht="15.75" customHeight="1" s="150">
      <c r="C662" s="109" t="n"/>
    </row>
    <row r="663" ht="15.75" customHeight="1" s="150">
      <c r="C663" s="109" t="n"/>
    </row>
    <row r="664" ht="15.75" customHeight="1" s="150">
      <c r="C664" s="109" t="n"/>
    </row>
    <row r="665" ht="15.75" customHeight="1" s="150">
      <c r="C665" s="109" t="n"/>
    </row>
    <row r="666" ht="15.75" customHeight="1" s="150">
      <c r="C666" s="109" t="n"/>
    </row>
    <row r="667" ht="15.75" customHeight="1" s="150">
      <c r="C667" s="109" t="n"/>
    </row>
    <row r="668" ht="15.75" customHeight="1" s="150">
      <c r="C668" s="109" t="n"/>
    </row>
    <row r="669" ht="15.75" customHeight="1" s="150">
      <c r="C669" s="109" t="n"/>
    </row>
    <row r="670" ht="15.75" customHeight="1" s="150">
      <c r="C670" s="109" t="n"/>
    </row>
    <row r="671" ht="15.75" customHeight="1" s="150">
      <c r="C671" s="109" t="n"/>
    </row>
    <row r="672" ht="15.75" customHeight="1" s="150">
      <c r="C672" s="109" t="n"/>
    </row>
    <row r="673" ht="15.75" customHeight="1" s="150">
      <c r="C673" s="109" t="n"/>
    </row>
    <row r="674" ht="15.75" customHeight="1" s="150">
      <c r="C674" s="109" t="n"/>
    </row>
    <row r="675" ht="15.75" customHeight="1" s="150">
      <c r="C675" s="109" t="n"/>
    </row>
    <row r="676" ht="15.75" customHeight="1" s="150">
      <c r="C676" s="109" t="n"/>
    </row>
    <row r="677" ht="15.75" customHeight="1" s="150">
      <c r="C677" s="109" t="n"/>
    </row>
    <row r="678" ht="15.75" customHeight="1" s="150">
      <c r="C678" s="109" t="n"/>
    </row>
    <row r="679" ht="15.75" customHeight="1" s="150">
      <c r="C679" s="109" t="n"/>
    </row>
    <row r="680" ht="15.75" customHeight="1" s="150">
      <c r="C680" s="109" t="n"/>
    </row>
    <row r="681" ht="15.75" customHeight="1" s="150">
      <c r="C681" s="109" t="n"/>
    </row>
    <row r="682" ht="15.75" customHeight="1" s="150">
      <c r="C682" s="109" t="n"/>
    </row>
    <row r="683" ht="15.75" customHeight="1" s="150">
      <c r="C683" s="109" t="n"/>
    </row>
    <row r="684" ht="15.75" customHeight="1" s="150">
      <c r="C684" s="109" t="n"/>
    </row>
    <row r="685" ht="15.75" customHeight="1" s="150">
      <c r="C685" s="109" t="n"/>
    </row>
    <row r="686" ht="15.75" customHeight="1" s="150">
      <c r="C686" s="109" t="n"/>
    </row>
    <row r="687" ht="15.75" customHeight="1" s="150">
      <c r="C687" s="109" t="n"/>
    </row>
    <row r="688" ht="15.75" customHeight="1" s="150">
      <c r="C688" s="109" t="n"/>
    </row>
    <row r="689" ht="15.75" customHeight="1" s="150">
      <c r="C689" s="109" t="n"/>
    </row>
    <row r="690" ht="15.75" customHeight="1" s="150">
      <c r="C690" s="109" t="n"/>
    </row>
    <row r="691" ht="15.75" customHeight="1" s="150">
      <c r="C691" s="109" t="n"/>
    </row>
    <row r="692" ht="15.75" customHeight="1" s="150">
      <c r="C692" s="109" t="n"/>
    </row>
    <row r="693" ht="15.75" customHeight="1" s="150">
      <c r="C693" s="109" t="n"/>
    </row>
    <row r="694" ht="15.75" customHeight="1" s="150">
      <c r="C694" s="109" t="n"/>
    </row>
    <row r="695" ht="15.75" customHeight="1" s="150">
      <c r="C695" s="109" t="n"/>
    </row>
    <row r="696" ht="15.75" customHeight="1" s="150">
      <c r="C696" s="109" t="n"/>
    </row>
    <row r="697" ht="15.75" customHeight="1" s="150">
      <c r="C697" s="109" t="n"/>
    </row>
    <row r="698" ht="15.75" customHeight="1" s="150">
      <c r="C698" s="109" t="n"/>
    </row>
    <row r="699" ht="15.75" customHeight="1" s="150">
      <c r="C699" s="109" t="n"/>
    </row>
    <row r="700" ht="15.75" customHeight="1" s="150">
      <c r="C700" s="109" t="n"/>
    </row>
    <row r="701" ht="15.75" customHeight="1" s="150">
      <c r="C701" s="109" t="n"/>
    </row>
    <row r="702" ht="15.75" customHeight="1" s="150">
      <c r="C702" s="109" t="n"/>
    </row>
    <row r="703" ht="15.75" customHeight="1" s="150">
      <c r="C703" s="109" t="n"/>
    </row>
    <row r="704" ht="15.75" customHeight="1" s="150">
      <c r="C704" s="109" t="n"/>
    </row>
    <row r="705" ht="15.75" customHeight="1" s="150">
      <c r="C705" s="109" t="n"/>
    </row>
    <row r="706" ht="15.75" customHeight="1" s="150">
      <c r="C706" s="109" t="n"/>
    </row>
    <row r="707" ht="15.75" customHeight="1" s="150">
      <c r="C707" s="109" t="n"/>
    </row>
    <row r="708" ht="15.75" customHeight="1" s="150">
      <c r="C708" s="109" t="n"/>
    </row>
    <row r="709" ht="15.75" customHeight="1" s="150">
      <c r="C709" s="109" t="n"/>
    </row>
    <row r="710" ht="15.75" customHeight="1" s="150">
      <c r="C710" s="109" t="n"/>
    </row>
    <row r="711" ht="15.75" customHeight="1" s="150">
      <c r="C711" s="109" t="n"/>
    </row>
    <row r="712" ht="15.75" customHeight="1" s="150">
      <c r="C712" s="109" t="n"/>
    </row>
    <row r="713" ht="15.75" customHeight="1" s="150">
      <c r="C713" s="109" t="n"/>
    </row>
    <row r="714" ht="15.75" customHeight="1" s="150">
      <c r="C714" s="109" t="n"/>
    </row>
    <row r="715" ht="15.75" customHeight="1" s="150">
      <c r="C715" s="109" t="n"/>
    </row>
    <row r="716" ht="15.75" customHeight="1" s="150">
      <c r="C716" s="109" t="n"/>
    </row>
    <row r="717" ht="15.75" customHeight="1" s="150">
      <c r="C717" s="109" t="n"/>
    </row>
    <row r="718" ht="15.75" customHeight="1" s="150">
      <c r="C718" s="109" t="n"/>
    </row>
    <row r="719" ht="15.75" customHeight="1" s="150">
      <c r="C719" s="109" t="n"/>
    </row>
    <row r="720" ht="15.75" customHeight="1" s="150">
      <c r="C720" s="109" t="n"/>
    </row>
    <row r="721" ht="15.75" customHeight="1" s="150">
      <c r="C721" s="109" t="n"/>
    </row>
    <row r="722" ht="15.75" customHeight="1" s="150">
      <c r="C722" s="109" t="n"/>
    </row>
    <row r="723" ht="15.75" customHeight="1" s="150">
      <c r="C723" s="109" t="n"/>
    </row>
    <row r="724" ht="15.75" customHeight="1" s="150">
      <c r="C724" s="109" t="n"/>
    </row>
    <row r="725" ht="15.75" customHeight="1" s="150">
      <c r="C725" s="109" t="n"/>
    </row>
    <row r="726" ht="15.75" customHeight="1" s="150">
      <c r="C726" s="109" t="n"/>
    </row>
    <row r="727" ht="15.75" customHeight="1" s="150">
      <c r="C727" s="109" t="n"/>
    </row>
    <row r="728" ht="15.75" customHeight="1" s="150">
      <c r="C728" s="109" t="n"/>
    </row>
    <row r="729" ht="15.75" customHeight="1" s="150">
      <c r="C729" s="109" t="n"/>
    </row>
    <row r="730" ht="15.75" customHeight="1" s="150">
      <c r="C730" s="109" t="n"/>
    </row>
    <row r="731" ht="15.75" customHeight="1" s="150">
      <c r="C731" s="109" t="n"/>
    </row>
    <row r="732" ht="15.75" customHeight="1" s="150">
      <c r="C732" s="109" t="n"/>
    </row>
    <row r="733" ht="15.75" customHeight="1" s="150">
      <c r="C733" s="109" t="n"/>
    </row>
    <row r="734" ht="15.75" customHeight="1" s="150">
      <c r="C734" s="109" t="n"/>
    </row>
    <row r="735" ht="15.75" customHeight="1" s="150">
      <c r="C735" s="109" t="n"/>
    </row>
    <row r="736" ht="15.75" customHeight="1" s="150">
      <c r="C736" s="109" t="n"/>
    </row>
    <row r="737" ht="15.75" customHeight="1" s="150">
      <c r="C737" s="109" t="n"/>
    </row>
    <row r="738" ht="15.75" customHeight="1" s="150">
      <c r="C738" s="109" t="n"/>
    </row>
    <row r="739" ht="15.75" customHeight="1" s="150">
      <c r="C739" s="109" t="n"/>
    </row>
    <row r="740" ht="15.75" customHeight="1" s="150">
      <c r="C740" s="109" t="n"/>
    </row>
    <row r="741" ht="15.75" customHeight="1" s="150">
      <c r="C741" s="109" t="n"/>
    </row>
    <row r="742" ht="15.75" customHeight="1" s="150">
      <c r="C742" s="109" t="n"/>
    </row>
    <row r="743" ht="15.75" customHeight="1" s="150">
      <c r="C743" s="109" t="n"/>
    </row>
    <row r="744" ht="15.75" customHeight="1" s="150">
      <c r="C744" s="109" t="n"/>
    </row>
    <row r="745" ht="15.75" customHeight="1" s="150">
      <c r="C745" s="109" t="n"/>
    </row>
    <row r="746" ht="15.75" customHeight="1" s="150">
      <c r="C746" s="109" t="n"/>
    </row>
    <row r="747" ht="15.75" customHeight="1" s="150">
      <c r="C747" s="109" t="n"/>
    </row>
    <row r="748" ht="15.75" customHeight="1" s="150">
      <c r="C748" s="109" t="n"/>
    </row>
    <row r="749" ht="15.75" customHeight="1" s="150">
      <c r="C749" s="109" t="n"/>
    </row>
    <row r="750" ht="15.75" customHeight="1" s="150">
      <c r="C750" s="109" t="n"/>
    </row>
    <row r="751" ht="15.75" customHeight="1" s="150">
      <c r="C751" s="109" t="n"/>
    </row>
    <row r="752" ht="15.75" customHeight="1" s="150">
      <c r="C752" s="109" t="n"/>
    </row>
    <row r="753" ht="15.75" customHeight="1" s="150">
      <c r="C753" s="109" t="n"/>
    </row>
    <row r="754" ht="15.75" customHeight="1" s="150">
      <c r="C754" s="109" t="n"/>
    </row>
    <row r="755" ht="15.75" customHeight="1" s="150">
      <c r="C755" s="109" t="n"/>
    </row>
    <row r="756" ht="15.75" customHeight="1" s="150">
      <c r="C756" s="109" t="n"/>
    </row>
    <row r="757" ht="15.75" customHeight="1" s="150">
      <c r="C757" s="109" t="n"/>
    </row>
    <row r="758" ht="15.75" customHeight="1" s="150">
      <c r="C758" s="109" t="n"/>
    </row>
    <row r="759" ht="15.75" customHeight="1" s="150">
      <c r="C759" s="109" t="n"/>
    </row>
    <row r="760" ht="15.75" customHeight="1" s="150">
      <c r="C760" s="109" t="n"/>
    </row>
    <row r="761" ht="15.75" customHeight="1" s="150">
      <c r="C761" s="109" t="n"/>
    </row>
    <row r="762" ht="15.75" customHeight="1" s="150">
      <c r="C762" s="109" t="n"/>
    </row>
    <row r="763" ht="15.75" customHeight="1" s="150">
      <c r="C763" s="109" t="n"/>
    </row>
    <row r="764" ht="15.75" customHeight="1" s="150">
      <c r="C764" s="109" t="n"/>
    </row>
    <row r="765" ht="15.75" customHeight="1" s="150">
      <c r="C765" s="109" t="n"/>
    </row>
    <row r="766" ht="15.75" customHeight="1" s="150">
      <c r="C766" s="109" t="n"/>
    </row>
    <row r="767" ht="15.75" customHeight="1" s="150">
      <c r="C767" s="109" t="n"/>
    </row>
    <row r="768" ht="15.75" customHeight="1" s="150">
      <c r="C768" s="109" t="n"/>
    </row>
    <row r="769" ht="15.75" customHeight="1" s="150">
      <c r="C769" s="109" t="n"/>
    </row>
    <row r="770" ht="15.75" customHeight="1" s="150">
      <c r="C770" s="109" t="n"/>
    </row>
    <row r="771" ht="15.75" customHeight="1" s="150">
      <c r="C771" s="109" t="n"/>
    </row>
    <row r="772" ht="15.75" customHeight="1" s="150">
      <c r="C772" s="109" t="n"/>
    </row>
    <row r="773" ht="15.75" customHeight="1" s="150">
      <c r="C773" s="109" t="n"/>
    </row>
    <row r="774" ht="15.75" customHeight="1" s="150">
      <c r="C774" s="109" t="n"/>
    </row>
    <row r="775" ht="15.75" customHeight="1" s="150">
      <c r="C775" s="109" t="n"/>
    </row>
    <row r="776" ht="15.75" customHeight="1" s="150">
      <c r="C776" s="109" t="n"/>
    </row>
    <row r="777" ht="15.75" customHeight="1" s="150">
      <c r="C777" s="109" t="n"/>
    </row>
    <row r="778" ht="15.75" customHeight="1" s="150">
      <c r="C778" s="109" t="n"/>
    </row>
    <row r="779" ht="15.75" customHeight="1" s="150">
      <c r="C779" s="109" t="n"/>
    </row>
    <row r="780" ht="15.75" customHeight="1" s="150">
      <c r="C780" s="109" t="n"/>
    </row>
    <row r="781" ht="15.75" customHeight="1" s="150">
      <c r="C781" s="109" t="n"/>
    </row>
    <row r="782" ht="15.75" customHeight="1" s="150">
      <c r="C782" s="109" t="n"/>
    </row>
    <row r="783" ht="15.75" customHeight="1" s="150">
      <c r="C783" s="109" t="n"/>
    </row>
    <row r="784" ht="15.75" customHeight="1" s="150">
      <c r="C784" s="109" t="n"/>
    </row>
    <row r="785" ht="15.75" customHeight="1" s="150">
      <c r="C785" s="109" t="n"/>
    </row>
    <row r="786" ht="15.75" customHeight="1" s="150">
      <c r="C786" s="109" t="n"/>
    </row>
    <row r="787" ht="15.75" customHeight="1" s="150">
      <c r="C787" s="109" t="n"/>
    </row>
    <row r="788" ht="15.75" customHeight="1" s="150">
      <c r="C788" s="109" t="n"/>
    </row>
    <row r="789" ht="15.75" customHeight="1" s="150">
      <c r="C789" s="109" t="n"/>
    </row>
    <row r="790" ht="15.75" customHeight="1" s="150">
      <c r="C790" s="109" t="n"/>
    </row>
    <row r="791" ht="15.75" customHeight="1" s="150">
      <c r="C791" s="109" t="n"/>
    </row>
    <row r="792" ht="15.75" customHeight="1" s="150">
      <c r="C792" s="109" t="n"/>
    </row>
    <row r="793" ht="15.75" customHeight="1" s="150">
      <c r="C793" s="109" t="n"/>
    </row>
    <row r="794" ht="15.75" customHeight="1" s="150">
      <c r="C794" s="109" t="n"/>
    </row>
    <row r="795" ht="15.75" customHeight="1" s="150">
      <c r="C795" s="109" t="n"/>
    </row>
    <row r="796" ht="15.75" customHeight="1" s="150">
      <c r="C796" s="109" t="n"/>
    </row>
    <row r="797" ht="15.75" customHeight="1" s="150">
      <c r="C797" s="109" t="n"/>
    </row>
    <row r="798" ht="15.75" customHeight="1" s="150">
      <c r="C798" s="109" t="n"/>
    </row>
    <row r="799" ht="15.75" customHeight="1" s="150">
      <c r="C799" s="109" t="n"/>
    </row>
    <row r="800" ht="15.75" customHeight="1" s="150">
      <c r="C800" s="109" t="n"/>
    </row>
    <row r="801" ht="15.75" customHeight="1" s="150">
      <c r="C801" s="109" t="n"/>
    </row>
    <row r="802" ht="15.75" customHeight="1" s="150">
      <c r="C802" s="109" t="n"/>
    </row>
    <row r="803" ht="15.75" customHeight="1" s="150">
      <c r="C803" s="109" t="n"/>
    </row>
    <row r="804" ht="15.75" customHeight="1" s="150">
      <c r="C804" s="109" t="n"/>
    </row>
    <row r="805" ht="15.75" customHeight="1" s="150">
      <c r="C805" s="109" t="n"/>
    </row>
    <row r="806" ht="15.75" customHeight="1" s="150">
      <c r="C806" s="109" t="n"/>
    </row>
    <row r="807" ht="15.75" customHeight="1" s="150">
      <c r="C807" s="109" t="n"/>
    </row>
    <row r="808" ht="15.75" customHeight="1" s="150">
      <c r="C808" s="109" t="n"/>
    </row>
    <row r="809" ht="15.75" customHeight="1" s="150">
      <c r="C809" s="109" t="n"/>
    </row>
    <row r="810" ht="15.75" customHeight="1" s="150">
      <c r="C810" s="109" t="n"/>
    </row>
    <row r="811" ht="15.75" customHeight="1" s="150">
      <c r="C811" s="109" t="n"/>
    </row>
    <row r="812" ht="15.75" customHeight="1" s="150">
      <c r="C812" s="109" t="n"/>
    </row>
    <row r="813" ht="15.75" customHeight="1" s="150">
      <c r="C813" s="109" t="n"/>
    </row>
    <row r="814" ht="15.75" customHeight="1" s="150">
      <c r="C814" s="109" t="n"/>
    </row>
    <row r="815" ht="15.75" customHeight="1" s="150">
      <c r="C815" s="109" t="n"/>
    </row>
    <row r="816" ht="15.75" customHeight="1" s="150">
      <c r="C816" s="109" t="n"/>
    </row>
    <row r="817" ht="15.75" customHeight="1" s="150">
      <c r="C817" s="109" t="n"/>
    </row>
    <row r="818" ht="15.75" customHeight="1" s="150">
      <c r="C818" s="109" t="n"/>
    </row>
    <row r="819" ht="15.75" customHeight="1" s="150">
      <c r="C819" s="109" t="n"/>
    </row>
    <row r="820" ht="15.75" customHeight="1" s="150">
      <c r="C820" s="109" t="n"/>
    </row>
    <row r="821" ht="15.75" customHeight="1" s="150">
      <c r="C821" s="109" t="n"/>
    </row>
    <row r="822" ht="15.75" customHeight="1" s="150">
      <c r="C822" s="109" t="n"/>
    </row>
    <row r="823" ht="15.75" customHeight="1" s="150">
      <c r="C823" s="109" t="n"/>
    </row>
    <row r="824" ht="15.75" customHeight="1" s="150">
      <c r="C824" s="109" t="n"/>
    </row>
    <row r="825" ht="15.75" customHeight="1" s="150">
      <c r="C825" s="109" t="n"/>
    </row>
    <row r="826" ht="15.75" customHeight="1" s="150">
      <c r="C826" s="109" t="n"/>
    </row>
    <row r="827" ht="15.75" customHeight="1" s="150">
      <c r="C827" s="109" t="n"/>
    </row>
    <row r="828" ht="15.75" customHeight="1" s="150">
      <c r="C828" s="109" t="n"/>
    </row>
    <row r="829" ht="15.75" customHeight="1" s="150">
      <c r="C829" s="109" t="n"/>
    </row>
    <row r="830" ht="15.75" customHeight="1" s="150">
      <c r="C830" s="109" t="n"/>
    </row>
    <row r="831" ht="15.75" customHeight="1" s="150">
      <c r="C831" s="109" t="n"/>
    </row>
    <row r="832" ht="15.75" customHeight="1" s="150">
      <c r="C832" s="109" t="n"/>
    </row>
    <row r="833" ht="15.75" customHeight="1" s="150">
      <c r="C833" s="109" t="n"/>
    </row>
    <row r="834" ht="15.75" customHeight="1" s="150">
      <c r="C834" s="109" t="n"/>
    </row>
    <row r="835" ht="15.75" customHeight="1" s="150">
      <c r="C835" s="109" t="n"/>
    </row>
    <row r="836" ht="15.75" customHeight="1" s="150">
      <c r="C836" s="109" t="n"/>
    </row>
    <row r="837" ht="15.75" customHeight="1" s="150">
      <c r="C837" s="109" t="n"/>
    </row>
    <row r="838" ht="15.75" customHeight="1" s="150">
      <c r="C838" s="109" t="n"/>
    </row>
    <row r="839" ht="15.75" customHeight="1" s="150">
      <c r="C839" s="109" t="n"/>
    </row>
    <row r="840" ht="15.75" customHeight="1" s="150">
      <c r="C840" s="109" t="n"/>
    </row>
    <row r="841" ht="15.75" customHeight="1" s="150">
      <c r="C841" s="109" t="n"/>
    </row>
    <row r="842" ht="15.75" customHeight="1" s="150">
      <c r="C842" s="109" t="n"/>
    </row>
    <row r="843" ht="15.75" customHeight="1" s="150">
      <c r="C843" s="109" t="n"/>
    </row>
    <row r="844" ht="15.75" customHeight="1" s="150">
      <c r="C844" s="109" t="n"/>
    </row>
    <row r="845" ht="15.75" customHeight="1" s="150">
      <c r="C845" s="109" t="n"/>
    </row>
    <row r="846" ht="15.75" customHeight="1" s="150">
      <c r="C846" s="109" t="n"/>
    </row>
    <row r="847" ht="15.75" customHeight="1" s="150">
      <c r="C847" s="109" t="n"/>
    </row>
    <row r="848" ht="15.75" customHeight="1" s="150">
      <c r="C848" s="109" t="n"/>
    </row>
    <row r="849" ht="15.75" customHeight="1" s="150">
      <c r="C849" s="109" t="n"/>
    </row>
    <row r="850" ht="15.75" customHeight="1" s="150">
      <c r="C850" s="109" t="n"/>
    </row>
    <row r="851" ht="15.75" customHeight="1" s="150">
      <c r="C851" s="109" t="n"/>
    </row>
    <row r="852" ht="15.75" customHeight="1" s="150">
      <c r="C852" s="109" t="n"/>
    </row>
    <row r="853" ht="15.75" customHeight="1" s="150">
      <c r="C853" s="109" t="n"/>
    </row>
    <row r="854" ht="15.75" customHeight="1" s="150">
      <c r="C854" s="109" t="n"/>
    </row>
    <row r="855" ht="15.75" customHeight="1" s="150">
      <c r="C855" s="109" t="n"/>
    </row>
    <row r="856" ht="15.75" customHeight="1" s="150">
      <c r="C856" s="109" t="n"/>
    </row>
    <row r="857" ht="15.75" customHeight="1" s="150">
      <c r="C857" s="109" t="n"/>
    </row>
    <row r="858" ht="15.75" customHeight="1" s="150">
      <c r="C858" s="109" t="n"/>
    </row>
    <row r="859" ht="15.75" customHeight="1" s="150">
      <c r="C859" s="109" t="n"/>
    </row>
    <row r="860" ht="15.75" customHeight="1" s="150">
      <c r="C860" s="109" t="n"/>
    </row>
    <row r="861" ht="15.75" customHeight="1" s="150">
      <c r="C861" s="109" t="n"/>
    </row>
    <row r="862" ht="15.75" customHeight="1" s="150">
      <c r="C862" s="109" t="n"/>
    </row>
    <row r="863" ht="15.75" customHeight="1" s="150">
      <c r="C863" s="109" t="n"/>
    </row>
    <row r="864" ht="15.75" customHeight="1" s="150">
      <c r="C864" s="109" t="n"/>
    </row>
    <row r="865" ht="15.75" customHeight="1" s="150">
      <c r="C865" s="109" t="n"/>
    </row>
    <row r="866" ht="15.75" customHeight="1" s="150">
      <c r="C866" s="109" t="n"/>
    </row>
    <row r="867" ht="15.75" customHeight="1" s="150">
      <c r="C867" s="109" t="n"/>
    </row>
    <row r="868" ht="15.75" customHeight="1" s="150">
      <c r="C868" s="109" t="n"/>
    </row>
    <row r="869" ht="15.75" customHeight="1" s="150">
      <c r="C869" s="109" t="n"/>
    </row>
    <row r="870" ht="15.75" customHeight="1" s="150">
      <c r="C870" s="109" t="n"/>
    </row>
    <row r="871" ht="15.75" customHeight="1" s="150">
      <c r="C871" s="109" t="n"/>
    </row>
    <row r="872" ht="15.75" customHeight="1" s="150">
      <c r="C872" s="109" t="n"/>
    </row>
    <row r="873" ht="15.75" customHeight="1" s="150">
      <c r="C873" s="109" t="n"/>
    </row>
    <row r="874" ht="15.75" customHeight="1" s="150">
      <c r="C874" s="109" t="n"/>
    </row>
    <row r="875" ht="15.75" customHeight="1" s="150">
      <c r="C875" s="109" t="n"/>
    </row>
    <row r="876" ht="15.75" customHeight="1" s="150">
      <c r="C876" s="109" t="n"/>
    </row>
    <row r="877" ht="15.75" customHeight="1" s="150">
      <c r="C877" s="109" t="n"/>
    </row>
    <row r="878" ht="15.75" customHeight="1" s="150">
      <c r="C878" s="109" t="n"/>
    </row>
    <row r="879" ht="15.75" customHeight="1" s="150">
      <c r="C879" s="109" t="n"/>
    </row>
    <row r="880" ht="15.75" customHeight="1" s="150">
      <c r="C880" s="109" t="n"/>
    </row>
    <row r="881" ht="15.75" customHeight="1" s="150">
      <c r="C881" s="109" t="n"/>
    </row>
    <row r="882" ht="15.75" customHeight="1" s="150">
      <c r="C882" s="109" t="n"/>
    </row>
    <row r="883" ht="15.75" customHeight="1" s="150">
      <c r="C883" s="109" t="n"/>
    </row>
    <row r="884" ht="15.75" customHeight="1" s="150">
      <c r="C884" s="109" t="n"/>
    </row>
    <row r="885" ht="15.75" customHeight="1" s="150">
      <c r="C885" s="109" t="n"/>
    </row>
    <row r="886" ht="15.75" customHeight="1" s="150">
      <c r="C886" s="109" t="n"/>
    </row>
    <row r="887" ht="15.75" customHeight="1" s="150">
      <c r="C887" s="109" t="n"/>
    </row>
    <row r="888" ht="15.75" customHeight="1" s="150">
      <c r="C888" s="109" t="n"/>
    </row>
    <row r="889" ht="15.75" customHeight="1" s="150">
      <c r="C889" s="109" t="n"/>
    </row>
    <row r="890" ht="15.75" customHeight="1" s="150">
      <c r="C890" s="109" t="n"/>
    </row>
    <row r="891" ht="15.75" customHeight="1" s="150">
      <c r="C891" s="109" t="n"/>
    </row>
    <row r="892" ht="15.75" customHeight="1" s="150">
      <c r="C892" s="109" t="n"/>
    </row>
    <row r="893" ht="15.75" customHeight="1" s="150">
      <c r="C893" s="109" t="n"/>
    </row>
    <row r="894" ht="15.75" customHeight="1" s="150">
      <c r="C894" s="109" t="n"/>
    </row>
    <row r="895" ht="15.75" customHeight="1" s="150">
      <c r="C895" s="109" t="n"/>
    </row>
    <row r="896" ht="15.75" customHeight="1" s="150">
      <c r="C896" s="109" t="n"/>
    </row>
    <row r="897" ht="15.75" customHeight="1" s="150">
      <c r="C897" s="109" t="n"/>
    </row>
    <row r="898" ht="15.75" customHeight="1" s="150">
      <c r="C898" s="109" t="n"/>
    </row>
    <row r="899" ht="15.75" customHeight="1" s="150">
      <c r="C899" s="109" t="n"/>
    </row>
    <row r="900" ht="15.75" customHeight="1" s="150">
      <c r="C900" s="109" t="n"/>
    </row>
    <row r="901" ht="15.75" customHeight="1" s="150">
      <c r="C901" s="109" t="n"/>
    </row>
    <row r="902" ht="15.75" customHeight="1" s="150">
      <c r="C902" s="109" t="n"/>
    </row>
    <row r="903" ht="15.75" customHeight="1" s="150">
      <c r="C903" s="109" t="n"/>
    </row>
    <row r="904" ht="15.75" customHeight="1" s="150">
      <c r="C904" s="109" t="n"/>
    </row>
    <row r="905" ht="15.75" customHeight="1" s="150">
      <c r="C905" s="109" t="n"/>
    </row>
    <row r="906" ht="15.75" customHeight="1" s="150">
      <c r="C906" s="109" t="n"/>
    </row>
    <row r="907" ht="15.75" customHeight="1" s="150">
      <c r="C907" s="109" t="n"/>
    </row>
    <row r="908" ht="15.75" customHeight="1" s="150">
      <c r="C908" s="109" t="n"/>
    </row>
    <row r="909" ht="15.75" customHeight="1" s="150">
      <c r="C909" s="109" t="n"/>
    </row>
    <row r="910" ht="15.75" customHeight="1" s="150">
      <c r="C910" s="109" t="n"/>
    </row>
    <row r="911" ht="15.75" customHeight="1" s="150">
      <c r="C911" s="109" t="n"/>
    </row>
    <row r="912" ht="15.75" customHeight="1" s="150">
      <c r="C912" s="109" t="n"/>
    </row>
    <row r="913" ht="15.75" customHeight="1" s="150">
      <c r="C913" s="109" t="n"/>
    </row>
    <row r="914" ht="15.75" customHeight="1" s="150">
      <c r="C914" s="109" t="n"/>
    </row>
    <row r="915" ht="15.75" customHeight="1" s="150">
      <c r="C915" s="109" t="n"/>
    </row>
    <row r="916" ht="15.75" customHeight="1" s="150">
      <c r="C916" s="109" t="n"/>
    </row>
    <row r="917" ht="15.75" customHeight="1" s="150">
      <c r="C917" s="109" t="n"/>
    </row>
    <row r="918" ht="15.75" customHeight="1" s="150">
      <c r="C918" s="109" t="n"/>
    </row>
    <row r="919" ht="15.75" customHeight="1" s="150">
      <c r="C919" s="109" t="n"/>
    </row>
    <row r="920" ht="15.75" customHeight="1" s="150">
      <c r="C920" s="109" t="n"/>
    </row>
    <row r="921" ht="15.75" customHeight="1" s="150">
      <c r="C921" s="109" t="n"/>
    </row>
    <row r="922" ht="15.75" customHeight="1" s="150">
      <c r="C922" s="109" t="n"/>
    </row>
    <row r="923" ht="15.75" customHeight="1" s="150">
      <c r="C923" s="109" t="n"/>
    </row>
    <row r="924" ht="15.75" customHeight="1" s="150">
      <c r="C924" s="109" t="n"/>
    </row>
    <row r="925" ht="15.75" customHeight="1" s="150">
      <c r="C925" s="109" t="n"/>
    </row>
    <row r="926" ht="15.75" customHeight="1" s="150">
      <c r="C926" s="109" t="n"/>
    </row>
    <row r="927" ht="15.75" customHeight="1" s="150">
      <c r="C927" s="109" t="n"/>
    </row>
    <row r="928" ht="15.75" customHeight="1" s="150">
      <c r="C928" s="109" t="n"/>
    </row>
    <row r="929" ht="15.75" customHeight="1" s="150">
      <c r="C929" s="109" t="n"/>
    </row>
    <row r="930" ht="15.75" customHeight="1" s="150">
      <c r="C930" s="109" t="n"/>
    </row>
    <row r="931" ht="15.75" customHeight="1" s="150">
      <c r="C931" s="109" t="n"/>
    </row>
    <row r="932" ht="15.75" customHeight="1" s="150">
      <c r="C932" s="109" t="n"/>
    </row>
    <row r="933" ht="15.75" customHeight="1" s="150">
      <c r="C933" s="109" t="n"/>
    </row>
    <row r="934" ht="15.75" customHeight="1" s="150">
      <c r="C934" s="109" t="n"/>
    </row>
    <row r="935" ht="15.75" customHeight="1" s="150">
      <c r="C935" s="109" t="n"/>
    </row>
    <row r="936" ht="15.75" customHeight="1" s="150">
      <c r="C936" s="109" t="n"/>
    </row>
    <row r="937" ht="15.75" customHeight="1" s="150">
      <c r="C937" s="109" t="n"/>
    </row>
    <row r="938" ht="15.75" customHeight="1" s="150">
      <c r="C938" s="109" t="n"/>
    </row>
    <row r="939" ht="15.75" customHeight="1" s="150">
      <c r="C939" s="109" t="n"/>
    </row>
    <row r="940" ht="15.75" customHeight="1" s="150">
      <c r="C940" s="109" t="n"/>
    </row>
    <row r="941" ht="15.75" customHeight="1" s="150">
      <c r="C941" s="109" t="n"/>
    </row>
    <row r="942" ht="15.75" customHeight="1" s="150">
      <c r="C942" s="109" t="n"/>
    </row>
    <row r="943" ht="15.75" customHeight="1" s="150">
      <c r="C943" s="109" t="n"/>
    </row>
    <row r="944" ht="15.75" customHeight="1" s="150">
      <c r="C944" s="109" t="n"/>
    </row>
    <row r="945" ht="15.75" customHeight="1" s="150">
      <c r="C945" s="109" t="n"/>
    </row>
    <row r="946" ht="15.75" customHeight="1" s="150">
      <c r="C946" s="109" t="n"/>
    </row>
    <row r="947" ht="15.75" customHeight="1" s="150">
      <c r="C947" s="109" t="n"/>
    </row>
    <row r="948" ht="15.75" customHeight="1" s="150">
      <c r="C948" s="109" t="n"/>
    </row>
    <row r="949" ht="15.75" customHeight="1" s="150">
      <c r="C949" s="109" t="n"/>
    </row>
    <row r="950" ht="15.75" customHeight="1" s="150">
      <c r="C950" s="109" t="n"/>
    </row>
    <row r="951" ht="15.75" customHeight="1" s="150">
      <c r="C951" s="109" t="n"/>
    </row>
    <row r="952" ht="15.75" customHeight="1" s="150">
      <c r="C952" s="109" t="n"/>
    </row>
    <row r="953" ht="15.75" customHeight="1" s="150">
      <c r="C953" s="109" t="n"/>
    </row>
    <row r="954" ht="15.75" customHeight="1" s="150">
      <c r="C954" s="109" t="n"/>
    </row>
    <row r="955" ht="15.75" customHeight="1" s="150">
      <c r="C955" s="109" t="n"/>
    </row>
    <row r="956" ht="15.75" customHeight="1" s="150">
      <c r="C956" s="109" t="n"/>
    </row>
    <row r="957" ht="15.75" customHeight="1" s="150">
      <c r="C957" s="109" t="n"/>
    </row>
    <row r="958" ht="15.75" customHeight="1" s="150">
      <c r="C958" s="109" t="n"/>
    </row>
    <row r="959" ht="15.75" customHeight="1" s="150">
      <c r="C959" s="109" t="n"/>
    </row>
    <row r="960" ht="15.75" customHeight="1" s="150">
      <c r="C960" s="109" t="n"/>
    </row>
    <row r="961" ht="15.75" customHeight="1" s="150">
      <c r="C961" s="109" t="n"/>
    </row>
    <row r="962" ht="15.75" customHeight="1" s="150">
      <c r="C962" s="109" t="n"/>
    </row>
    <row r="963" ht="15.75" customHeight="1" s="150">
      <c r="C963" s="109" t="n"/>
    </row>
    <row r="964" ht="15.75" customHeight="1" s="150">
      <c r="C964" s="109" t="n"/>
    </row>
    <row r="965" ht="15.75" customHeight="1" s="150">
      <c r="C965" s="109" t="n"/>
    </row>
    <row r="966" ht="15.75" customHeight="1" s="150">
      <c r="C966" s="109" t="n"/>
    </row>
    <row r="967" ht="15.75" customHeight="1" s="150">
      <c r="C967" s="109" t="n"/>
    </row>
    <row r="968" ht="15.75" customHeight="1" s="150">
      <c r="C968" s="109" t="n"/>
    </row>
    <row r="969" ht="15.75" customHeight="1" s="150">
      <c r="C969" s="109" t="n"/>
    </row>
    <row r="970" ht="15.75" customHeight="1" s="150">
      <c r="C970" s="109" t="n"/>
    </row>
    <row r="971" ht="15.75" customHeight="1" s="150">
      <c r="C971" s="109" t="n"/>
    </row>
    <row r="972" ht="15.75" customHeight="1" s="150">
      <c r="C972" s="109" t="n"/>
    </row>
    <row r="973" ht="15.75" customHeight="1" s="150">
      <c r="C973" s="109" t="n"/>
    </row>
    <row r="974" ht="15.75" customHeight="1" s="150">
      <c r="C974" s="109" t="n"/>
    </row>
    <row r="975" ht="15.75" customHeight="1" s="150">
      <c r="C975" s="109" t="n"/>
    </row>
    <row r="976" ht="15.75" customHeight="1" s="150">
      <c r="C976" s="109" t="n"/>
    </row>
    <row r="977" ht="15.75" customHeight="1" s="150">
      <c r="C977" s="109" t="n"/>
    </row>
    <row r="978" ht="15.75" customHeight="1" s="150">
      <c r="C978" s="109" t="n"/>
    </row>
    <row r="979" ht="15.75" customHeight="1" s="150">
      <c r="C979" s="109" t="n"/>
    </row>
    <row r="980" ht="15.75" customHeight="1" s="150">
      <c r="C980" s="109" t="n"/>
    </row>
    <row r="981" ht="15.75" customHeight="1" s="150">
      <c r="C981" s="109" t="n"/>
    </row>
    <row r="982" ht="15.75" customHeight="1" s="150">
      <c r="C982" s="109" t="n"/>
    </row>
    <row r="983" ht="15.75" customHeight="1" s="150">
      <c r="C983" s="109" t="n"/>
    </row>
    <row r="984" ht="15.75" customHeight="1" s="150">
      <c r="C984" s="109" t="n"/>
    </row>
    <row r="985" ht="15.75" customHeight="1" s="150">
      <c r="C985" s="109" t="n"/>
    </row>
    <row r="986" ht="15.75" customHeight="1" s="150">
      <c r="C986" s="109" t="n"/>
    </row>
    <row r="987" ht="15.75" customHeight="1" s="150">
      <c r="C987" s="109" t="n"/>
    </row>
    <row r="988" ht="15.75" customHeight="1" s="150">
      <c r="C988" s="109" t="n"/>
    </row>
    <row r="989" ht="15.75" customHeight="1" s="150">
      <c r="C989" s="109" t="n"/>
    </row>
    <row r="990" ht="15.75" customHeight="1" s="150">
      <c r="C990" s="109" t="n"/>
    </row>
    <row r="991" ht="15.75" customHeight="1" s="150">
      <c r="C991" s="109" t="n"/>
    </row>
    <row r="992" ht="15.75" customHeight="1" s="150">
      <c r="C992" s="109" t="n"/>
    </row>
    <row r="993" ht="15.75" customHeight="1" s="150">
      <c r="C993" s="109" t="n"/>
    </row>
    <row r="994" ht="15.75" customHeight="1" s="150">
      <c r="C994" s="109" t="n"/>
    </row>
  </sheetData>
  <mergeCells count="1">
    <mergeCell ref="B7:E7"/>
  </mergeCells>
  <dataValidations count="1">
    <dataValidation sqref="C23" showDropDown="0" showInputMessage="0" showErrorMessage="1" allowBlank="1" type="list">
      <formula1>"Ja,Nein,nicht möglich,Nein,aber möglich"</formula1>
    </dataValidation>
  </dataValidations>
  <pageMargins left="0.7" right="0.7" top="0.75" bottom="0.75" header="0" footer="0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H224"/>
  <sheetViews>
    <sheetView showGridLines="0" zoomScale="78" workbookViewId="0">
      <selection activeCell="E71" sqref="E71"/>
    </sheetView>
  </sheetViews>
  <sheetFormatPr baseColWidth="10" defaultColWidth="12.59765625" defaultRowHeight="15" customHeight="1"/>
  <cols>
    <col width="10.73046875" customWidth="1" style="150" min="2" max="2"/>
    <col width="10.86328125" customWidth="1" style="150" min="3" max="3"/>
    <col width="10.59765625" customWidth="1" style="150" min="4" max="4"/>
    <col width="26.1328125" customWidth="1" style="150" min="5" max="5"/>
    <col width="13.73046875" customWidth="1" style="150" min="6" max="6"/>
    <col width="15.73046875" customWidth="1" style="150" min="7" max="7"/>
    <col width="20.796875" customWidth="1" style="160" min="8" max="8"/>
  </cols>
  <sheetData>
    <row r="1" ht="12.75" customHeight="1" s="150">
      <c r="A1" s="1" t="n"/>
      <c r="B1" s="1" t="n"/>
      <c r="C1" s="1" t="n"/>
      <c r="D1" s="1" t="n"/>
      <c r="E1" s="1" t="n"/>
      <c r="F1" s="1" t="n"/>
      <c r="G1" s="1" t="n"/>
      <c r="H1" s="152" t="n"/>
    </row>
    <row r="2" ht="12.75" customHeight="1" s="150" thickBot="1">
      <c r="A2" s="1" t="n"/>
      <c r="B2" s="1" t="n"/>
      <c r="C2" s="1" t="n"/>
      <c r="D2" s="1" t="n"/>
      <c r="E2" s="1" t="n"/>
      <c r="F2" s="1" t="n"/>
      <c r="G2" s="1" t="n"/>
      <c r="H2" s="152" t="n"/>
    </row>
    <row r="3" ht="40.5" customHeight="1" s="150" thickBot="1" thickTop="1">
      <c r="A3" s="1" t="n"/>
      <c r="B3" s="110" t="inlineStr">
        <is>
          <t>Verkaufseinschätzung</t>
        </is>
      </c>
      <c r="C3" s="110" t="n"/>
      <c r="D3" s="110" t="n"/>
      <c r="E3" s="110" t="n"/>
      <c r="F3" s="110" t="n"/>
      <c r="G3" s="111" t="inlineStr">
        <is>
          <t>Profit 
(Base Case)</t>
        </is>
      </c>
      <c r="H3" s="153">
        <f>'Business Case (intern)'!C23</f>
        <v/>
      </c>
    </row>
    <row r="4" ht="13.15" customHeight="1" s="150" thickTop="1">
      <c r="A4" s="1" t="n"/>
      <c r="B4" s="112" t="n"/>
      <c r="C4" s="112" t="n"/>
      <c r="D4" s="112" t="n"/>
      <c r="E4" s="112" t="n"/>
      <c r="F4" s="112" t="n"/>
      <c r="G4" s="6" t="n"/>
      <c r="H4" s="154" t="n"/>
    </row>
    <row r="5" ht="12.75" customHeight="1" s="150">
      <c r="A5" s="1" t="n"/>
      <c r="B5" s="1" t="n"/>
      <c r="C5" s="1" t="n"/>
      <c r="D5" s="1" t="n"/>
      <c r="E5" s="1" t="n"/>
      <c r="F5" s="1" t="n"/>
      <c r="G5" s="1" t="n"/>
      <c r="H5" s="152" t="n"/>
    </row>
    <row r="6" ht="12.75" customHeight="1" s="150">
      <c r="A6" s="1" t="n"/>
      <c r="B6" s="113" t="n"/>
      <c r="C6" s="113" t="n"/>
      <c r="D6" s="113" t="n"/>
      <c r="E6" s="113" t="n"/>
      <c r="F6" s="113" t="n"/>
      <c r="G6" s="183" t="inlineStr">
        <is>
          <t>Price Source: Manual Input</t>
        </is>
      </c>
      <c r="H6" s="155" t="n"/>
    </row>
    <row r="7" ht="18.75" customHeight="1" s="150" thickBot="1">
      <c r="A7" s="1" t="n"/>
      <c r="B7" s="114" t="n"/>
      <c r="C7" s="114" t="n"/>
      <c r="D7" s="114" t="n"/>
      <c r="E7" s="114" t="n"/>
      <c r="F7" s="114" t="n"/>
      <c r="G7" s="184" t="inlineStr">
        <is>
          <t>Base Case</t>
        </is>
      </c>
    </row>
    <row r="8" ht="45" customHeight="1" s="150" thickBot="1" thickTop="1">
      <c r="A8" s="1" t="n"/>
      <c r="B8" s="115" t="inlineStr">
        <is>
          <t>Objekt Nummer</t>
        </is>
      </c>
      <c r="C8" s="115" t="inlineStr">
        <is>
          <t>Typ</t>
        </is>
      </c>
      <c r="D8" s="115" t="inlineStr">
        <is>
          <t>Etage</t>
        </is>
      </c>
      <c r="E8" s="115" t="inlineStr">
        <is>
          <t>Raum laut Grundriss</t>
        </is>
      </c>
      <c r="F8" s="115" t="inlineStr">
        <is>
          <t>Fläche / WFL SOLL (qm)</t>
        </is>
      </c>
      <c r="G8" s="115" t="inlineStr">
        <is>
          <t>I. Base Case
Verkaufspreis je qm</t>
        </is>
      </c>
      <c r="H8" s="156" t="inlineStr">
        <is>
          <t>I. Base Case
Verkaufspreis je Objekt</t>
        </is>
      </c>
    </row>
    <row r="9" ht="12.75" customHeight="1" s="150" thickTop="1">
      <c r="A9" s="1" t="n"/>
      <c r="B9" s="161" t="n">
        <v>1</v>
      </c>
      <c r="C9" s="185" t="inlineStr">
        <is>
          <t>WE</t>
        </is>
      </c>
      <c r="D9" s="185" t="inlineStr">
        <is>
          <t>EG li</t>
        </is>
      </c>
      <c r="E9" s="185" t="n">
        <v>46.95</v>
      </c>
      <c r="F9" s="163">
        <f>$F$24/INPUT_Stammdaten!Anzahl_Wohneinheiten</f>
        <v/>
      </c>
      <c r="G9" s="186" t="n">
        <v>3200</v>
      </c>
      <c r="H9" s="157">
        <f>G9*F9</f>
        <v/>
      </c>
    </row>
    <row r="10" ht="12.75" customHeight="1" s="150">
      <c r="A10" s="1" t="n"/>
      <c r="B10" s="161" t="n">
        <v>2</v>
      </c>
      <c r="C10" s="185" t="inlineStr">
        <is>
          <t>WE</t>
        </is>
      </c>
      <c r="D10" s="185" t="inlineStr">
        <is>
          <t>EG mi</t>
        </is>
      </c>
      <c r="E10" s="185" t="n">
        <v>52.49</v>
      </c>
      <c r="F10" s="163">
        <f>$F$24/INPUT_Stammdaten!Anzahl_Wohneinheiten</f>
        <v/>
      </c>
      <c r="G10" s="186" t="n">
        <v>3200</v>
      </c>
      <c r="H10" s="157">
        <f>G10*F10</f>
        <v/>
      </c>
    </row>
    <row r="11" ht="12.75" customHeight="1" s="150">
      <c r="A11" s="1" t="n"/>
      <c r="B11" s="161" t="n">
        <v>3</v>
      </c>
      <c r="C11" s="185" t="inlineStr">
        <is>
          <t>WE</t>
        </is>
      </c>
      <c r="D11" s="185" t="inlineStr">
        <is>
          <t>EG re</t>
        </is>
      </c>
      <c r="E11" s="185" t="n">
        <v>49.16</v>
      </c>
      <c r="F11" s="163">
        <f>$F$24/INPUT_Stammdaten!Anzahl_Wohneinheiten</f>
        <v/>
      </c>
      <c r="G11" s="186" t="n">
        <v>3200</v>
      </c>
      <c r="H11" s="157">
        <f>G11*F11</f>
        <v/>
      </c>
    </row>
    <row r="12" ht="12.75" customHeight="1" s="150">
      <c r="A12" s="1" t="n"/>
      <c r="B12" s="161" t="n">
        <v>4</v>
      </c>
      <c r="C12" s="185" t="inlineStr">
        <is>
          <t>WE</t>
        </is>
      </c>
      <c r="D12" s="185" t="inlineStr">
        <is>
          <t>1. OG li</t>
        </is>
      </c>
      <c r="E12" s="185" t="n">
        <v>50</v>
      </c>
      <c r="F12" s="163">
        <f>$F$24/INPUT_Stammdaten!Anzahl_Wohneinheiten</f>
        <v/>
      </c>
      <c r="G12" s="186" t="n">
        <v>3200</v>
      </c>
      <c r="H12" s="157">
        <f>G12*F12</f>
        <v/>
      </c>
    </row>
    <row r="13" ht="12.75" customHeight="1" s="150">
      <c r="A13" s="1" t="n"/>
      <c r="B13" s="161" t="n">
        <v>5</v>
      </c>
      <c r="C13" s="185" t="inlineStr">
        <is>
          <t>WE</t>
        </is>
      </c>
      <c r="D13" s="185" t="inlineStr">
        <is>
          <t>1. OG mi</t>
        </is>
      </c>
      <c r="E13" s="185" t="n">
        <v>51.18</v>
      </c>
      <c r="F13" s="163">
        <f>$F$24/INPUT_Stammdaten!Anzahl_Wohneinheiten</f>
        <v/>
      </c>
      <c r="G13" s="186" t="n">
        <v>3200</v>
      </c>
      <c r="H13" s="157">
        <f>G13*F13</f>
        <v/>
      </c>
    </row>
    <row r="14" ht="12.75" customHeight="1" s="150">
      <c r="A14" s="1" t="n"/>
      <c r="B14" s="161" t="n">
        <v>6</v>
      </c>
      <c r="C14" s="185" t="inlineStr">
        <is>
          <t>WE</t>
        </is>
      </c>
      <c r="D14" s="185" t="inlineStr">
        <is>
          <t>1. OG re</t>
        </is>
      </c>
      <c r="E14" s="185" t="n">
        <v>50.47</v>
      </c>
      <c r="F14" s="163">
        <f>$F$24/INPUT_Stammdaten!Anzahl_Wohneinheiten</f>
        <v/>
      </c>
      <c r="G14" s="186" t="n">
        <v>3200</v>
      </c>
      <c r="H14" s="157">
        <f>G14*F14</f>
        <v/>
      </c>
    </row>
    <row r="15" ht="12.75" customHeight="1" s="150">
      <c r="A15" s="1" t="n"/>
      <c r="B15" s="161" t="n">
        <v>7</v>
      </c>
      <c r="C15" s="185" t="inlineStr">
        <is>
          <t>WE</t>
        </is>
      </c>
      <c r="D15" s="185" t="inlineStr">
        <is>
          <t>2. OG li</t>
        </is>
      </c>
      <c r="E15" s="185" t="n">
        <v>50.61</v>
      </c>
      <c r="F15" s="163">
        <f>$F$24/INPUT_Stammdaten!Anzahl_Wohneinheiten</f>
        <v/>
      </c>
      <c r="G15" s="186" t="n">
        <v>3200</v>
      </c>
      <c r="H15" s="157">
        <f>G15*F15</f>
        <v/>
      </c>
    </row>
    <row r="16" ht="12.75" customHeight="1" s="150">
      <c r="A16" s="1" t="n"/>
      <c r="B16" s="161" t="n">
        <v>8</v>
      </c>
      <c r="C16" s="185" t="inlineStr">
        <is>
          <t>WE</t>
        </is>
      </c>
      <c r="D16" s="185" t="inlineStr">
        <is>
          <t>2. OG mi</t>
        </is>
      </c>
      <c r="E16" s="185" t="n">
        <v>51.39</v>
      </c>
      <c r="F16" s="163">
        <f>$F$24/INPUT_Stammdaten!Anzahl_Wohneinheiten</f>
        <v/>
      </c>
      <c r="G16" s="186" t="n">
        <v>3200</v>
      </c>
      <c r="H16" s="157">
        <f>G16*F16</f>
        <v/>
      </c>
    </row>
    <row r="17" ht="12.75" customHeight="1" s="150">
      <c r="A17" s="1" t="n"/>
      <c r="B17" s="161" t="n">
        <v>9</v>
      </c>
      <c r="C17" s="185" t="inlineStr">
        <is>
          <t>WE</t>
        </is>
      </c>
      <c r="D17" s="185" t="inlineStr">
        <is>
          <t>2. OG re</t>
        </is>
      </c>
      <c r="E17" s="185" t="n">
        <v>50.21</v>
      </c>
      <c r="F17" s="163">
        <f>$F$24/INPUT_Stammdaten!Anzahl_Wohneinheiten</f>
        <v/>
      </c>
      <c r="G17" s="186" t="n">
        <v>3200</v>
      </c>
      <c r="H17" s="157">
        <f>G17*F17</f>
        <v/>
      </c>
    </row>
    <row r="18" ht="12.75" customHeight="1" s="150">
      <c r="A18" s="1" t="n"/>
      <c r="B18" s="161" t="n">
        <v>10</v>
      </c>
      <c r="C18" s="185" t="inlineStr">
        <is>
          <t>WE</t>
        </is>
      </c>
      <c r="D18" s="185" t="inlineStr">
        <is>
          <t>DG li</t>
        </is>
      </c>
      <c r="E18" s="185" t="n">
        <v>80.52</v>
      </c>
      <c r="F18" s="163">
        <f>$F$24/INPUT_Stammdaten!Anzahl_Wohneinheiten</f>
        <v/>
      </c>
      <c r="G18" s="186" t="n">
        <v>3200</v>
      </c>
      <c r="H18" s="157">
        <f>G18*F18</f>
        <v/>
      </c>
    </row>
    <row r="19" ht="12.75" customHeight="1" s="150">
      <c r="A19" s="1" t="n"/>
      <c r="B19" s="161" t="n">
        <v>11</v>
      </c>
      <c r="C19" s="185" t="inlineStr">
        <is>
          <t>WE</t>
        </is>
      </c>
      <c r="D19" s="185" t="inlineStr">
        <is>
          <t>DG re</t>
        </is>
      </c>
      <c r="E19" s="185" t="n">
        <v>61.56</v>
      </c>
      <c r="F19" s="163">
        <f>$F$24/INPUT_Stammdaten!Anzahl_Wohneinheiten</f>
        <v/>
      </c>
      <c r="G19" s="186" t="n">
        <v>3200</v>
      </c>
      <c r="H19" s="157">
        <f>G19*F19</f>
        <v/>
      </c>
    </row>
    <row r="20" ht="12.75" customHeight="1" s="150">
      <c r="A20" s="1" t="n"/>
      <c r="B20" s="162" t="n"/>
      <c r="C20" s="162" t="n"/>
      <c r="D20" s="162" t="n"/>
      <c r="E20" s="162" t="n"/>
      <c r="F20" s="187" t="n"/>
      <c r="G20" s="117" t="n"/>
      <c r="H20" s="157" t="n"/>
    </row>
    <row r="21" ht="12.75" customHeight="1" s="150">
      <c r="A21" s="1" t="n"/>
      <c r="B21" s="162" t="n"/>
      <c r="C21" s="162" t="n"/>
      <c r="D21" s="162" t="n"/>
      <c r="E21" s="162" t="n"/>
      <c r="F21" s="187" t="n"/>
      <c r="G21" s="118" t="n"/>
      <c r="H21" s="157" t="n"/>
    </row>
    <row r="22" ht="12.75" customHeight="1" s="150">
      <c r="A22" s="1" t="n"/>
      <c r="B22" s="162" t="n"/>
      <c r="C22" s="162" t="n"/>
      <c r="D22" s="162" t="n"/>
      <c r="E22" s="162" t="n"/>
      <c r="F22" s="187" t="n"/>
      <c r="G22" s="118" t="n"/>
      <c r="H22" s="157" t="n"/>
    </row>
    <row r="23" ht="12.75" customHeight="1" s="150" thickBot="1">
      <c r="A23" s="1" t="n"/>
      <c r="B23" s="162" t="n"/>
      <c r="C23" s="162" t="n"/>
      <c r="D23" s="162" t="n"/>
      <c r="E23" s="162" t="n"/>
      <c r="F23" s="187" t="n"/>
      <c r="G23" s="116" t="n"/>
      <c r="H23" s="157" t="n"/>
    </row>
    <row r="24" ht="17.25" customHeight="1" s="150" thickBot="1">
      <c r="A24" s="1" t="n"/>
      <c r="B24" s="119" t="n"/>
      <c r="C24" s="120" t="n"/>
      <c r="D24" s="120" t="n"/>
      <c r="E24" s="120" t="inlineStr">
        <is>
          <t>Gesamt</t>
        </is>
      </c>
      <c r="F24" s="188" t="n">
        <v>594.54</v>
      </c>
      <c r="G24" s="189">
        <f>H24/$F$24</f>
        <v/>
      </c>
      <c r="H24" s="158">
        <f>SUM(H9:H23)</f>
        <v/>
      </c>
    </row>
    <row r="25" ht="17.25" customHeight="1" s="150" thickBot="1">
      <c r="A25" s="1" t="n"/>
      <c r="B25" s="119" t="n"/>
      <c r="C25" s="120" t="n"/>
      <c r="D25" s="120" t="n"/>
      <c r="E25" s="120" t="n"/>
      <c r="F25" s="121" t="n"/>
      <c r="G25" s="123" t="n"/>
      <c r="H25" s="158" t="n"/>
    </row>
    <row r="26" ht="9.75" customHeight="1" s="150">
      <c r="A26" s="1" t="n"/>
      <c r="B26" s="10" t="n"/>
      <c r="C26" s="1" t="n"/>
      <c r="D26" s="1" t="n"/>
      <c r="E26" s="1" t="n"/>
      <c r="F26" s="1" t="n"/>
      <c r="G26" s="1" t="n"/>
      <c r="H26" s="152" t="n"/>
    </row>
    <row r="27" ht="13.5" customHeight="1" s="150">
      <c r="A27" s="1" t="n"/>
      <c r="B27" s="10" t="n"/>
      <c r="C27" s="1" t="n"/>
      <c r="D27" s="1" t="n"/>
      <c r="E27" s="1" t="n"/>
      <c r="F27" s="1" t="n"/>
      <c r="G27" s="1" t="n"/>
      <c r="H27" s="152" t="n"/>
    </row>
    <row r="28" ht="15.75" customHeight="1" s="150">
      <c r="A28" s="1" t="n"/>
      <c r="B28" s="10" t="n"/>
      <c r="C28" s="1" t="n"/>
      <c r="D28" s="1" t="n"/>
      <c r="E28" s="1" t="n"/>
      <c r="F28" s="1" t="n"/>
      <c r="G28" s="1" t="n"/>
      <c r="H28" s="152" t="n"/>
    </row>
    <row r="29" ht="15.75" customHeight="1" s="150">
      <c r="A29" s="1" t="n"/>
      <c r="B29" s="10" t="n"/>
      <c r="C29" s="1" t="n"/>
      <c r="D29" s="1" t="n"/>
      <c r="E29" s="1" t="n"/>
      <c r="F29" s="1" t="n"/>
      <c r="G29" s="1" t="n"/>
      <c r="H29" s="152" t="n"/>
    </row>
    <row r="30" ht="15.75" customHeight="1" s="150">
      <c r="A30" s="1" t="n"/>
      <c r="B30" s="10" t="n"/>
      <c r="C30" s="1" t="n"/>
      <c r="D30" s="1" t="n"/>
      <c r="E30" s="1" t="n"/>
      <c r="F30" s="1" t="n"/>
      <c r="G30" s="1" t="n"/>
      <c r="H30" s="152" t="n"/>
    </row>
    <row r="31" ht="12.75" customHeight="1" s="150">
      <c r="A31" s="1" t="n"/>
      <c r="B31" s="1" t="n"/>
      <c r="C31" s="1" t="n"/>
      <c r="D31" s="1" t="n"/>
      <c r="E31" s="1" t="n"/>
      <c r="F31" s="1" t="n"/>
      <c r="G31" s="1" t="n"/>
      <c r="H31" s="152" t="n"/>
    </row>
    <row r="32" ht="12.75" customHeight="1" s="150">
      <c r="A32" s="1" t="n"/>
      <c r="B32" s="1" t="n"/>
      <c r="C32" s="1" t="n"/>
      <c r="D32" s="1" t="n"/>
      <c r="E32" s="1" t="n"/>
      <c r="F32" s="1" t="n"/>
      <c r="G32" s="1" t="n"/>
      <c r="H32" s="152" t="n"/>
    </row>
    <row r="33" ht="12.75" customHeight="1" s="150">
      <c r="A33" s="1" t="n"/>
      <c r="B33" s="1" t="n"/>
      <c r="C33" s="1" t="n"/>
      <c r="D33" s="1" t="n"/>
      <c r="E33" s="1" t="n"/>
      <c r="F33" s="1" t="n"/>
      <c r="G33" s="1" t="n"/>
      <c r="H33" s="152" t="n"/>
    </row>
    <row r="34" ht="12.75" customHeight="1" s="150">
      <c r="A34" s="1" t="n"/>
      <c r="B34" s="1" t="n"/>
      <c r="C34" s="1" t="n"/>
      <c r="D34" s="1" t="n"/>
      <c r="E34" s="1" t="n"/>
      <c r="F34" s="1" t="n"/>
      <c r="G34" s="1" t="n"/>
      <c r="H34" s="152" t="n"/>
    </row>
    <row r="35" ht="12.75" customHeight="1" s="150">
      <c r="A35" s="1" t="n"/>
      <c r="B35" s="1" t="n"/>
      <c r="C35" s="1" t="n"/>
      <c r="D35" s="1" t="n"/>
      <c r="E35" s="1" t="n"/>
      <c r="F35" s="1" t="n"/>
      <c r="G35" s="1" t="n"/>
      <c r="H35" s="152" t="n"/>
    </row>
    <row r="36" ht="12.75" customHeight="1" s="150">
      <c r="A36" s="1" t="n"/>
      <c r="B36" s="1" t="n"/>
      <c r="C36" s="1" t="n"/>
      <c r="D36" s="1" t="n"/>
      <c r="E36" s="1" t="n"/>
      <c r="F36" s="1" t="n"/>
      <c r="G36" s="1" t="n"/>
      <c r="H36" s="152" t="n"/>
    </row>
    <row r="37" ht="12.75" customHeight="1" s="150">
      <c r="A37" s="1" t="n"/>
      <c r="B37" s="1" t="n"/>
      <c r="C37" s="1" t="n"/>
      <c r="D37" s="1" t="n"/>
      <c r="E37" s="1" t="n"/>
      <c r="F37" s="1" t="n"/>
      <c r="G37" s="1" t="n"/>
      <c r="H37" s="152" t="n"/>
    </row>
    <row r="38" ht="12.75" customHeight="1" s="150">
      <c r="A38" s="1" t="n"/>
      <c r="B38" s="1" t="n"/>
      <c r="C38" s="1" t="n"/>
      <c r="D38" s="1" t="n"/>
      <c r="E38" s="1" t="n"/>
      <c r="F38" s="1" t="n"/>
      <c r="G38" s="1" t="n"/>
      <c r="H38" s="152" t="n"/>
    </row>
    <row r="39" ht="17.25" customHeight="1" s="150">
      <c r="A39" s="1" t="n"/>
      <c r="B39" s="1" t="n"/>
      <c r="C39" s="1" t="n"/>
      <c r="D39" s="1" t="n"/>
      <c r="E39" s="1" t="n"/>
      <c r="F39" s="1" t="n"/>
      <c r="G39" s="1" t="n"/>
      <c r="H39" s="152" t="n"/>
    </row>
    <row r="40" ht="33" customHeight="1" s="150">
      <c r="A40" s="1" t="n"/>
      <c r="B40" s="1" t="n"/>
      <c r="C40" s="1" t="n"/>
      <c r="D40" s="1" t="n"/>
      <c r="E40" s="1" t="n"/>
      <c r="F40" s="1" t="n"/>
      <c r="G40" s="1" t="n"/>
      <c r="H40" s="152" t="n"/>
    </row>
    <row r="41" ht="12.75" customHeight="1" s="150">
      <c r="A41" s="1" t="n"/>
      <c r="B41" s="1" t="n"/>
      <c r="C41" s="1" t="n"/>
      <c r="D41" s="1" t="n"/>
      <c r="E41" s="1" t="n"/>
      <c r="F41" s="1" t="n"/>
      <c r="G41" s="1" t="n"/>
      <c r="H41" s="152" t="n"/>
    </row>
    <row r="42" ht="12.75" customHeight="1" s="150">
      <c r="A42" s="1" t="n"/>
      <c r="B42" s="1" t="n"/>
      <c r="C42" s="1" t="n"/>
      <c r="D42" s="1" t="n"/>
      <c r="E42" s="1" t="n"/>
      <c r="F42" s="1" t="n"/>
      <c r="G42" s="1" t="n"/>
      <c r="H42" s="152" t="n"/>
    </row>
    <row r="43" ht="12.75" customHeight="1" s="150">
      <c r="A43" s="1" t="n"/>
      <c r="B43" s="1" t="n"/>
      <c r="C43" s="1" t="n"/>
      <c r="D43" s="1" t="n"/>
      <c r="E43" s="1" t="n"/>
      <c r="F43" s="1" t="n"/>
      <c r="G43" s="1" t="n"/>
      <c r="H43" s="152" t="n"/>
    </row>
    <row r="44" ht="12.75" customHeight="1" s="150">
      <c r="A44" s="1" t="n"/>
      <c r="B44" s="1" t="n"/>
      <c r="C44" s="1" t="n"/>
      <c r="D44" s="1" t="n"/>
      <c r="E44" s="1" t="n"/>
      <c r="F44" s="1" t="n"/>
      <c r="G44" s="1" t="n"/>
      <c r="H44" s="152" t="n"/>
    </row>
    <row r="45" ht="12.75" customHeight="1" s="150">
      <c r="A45" s="1" t="n"/>
      <c r="B45" s="1" t="n"/>
      <c r="C45" s="1" t="n"/>
      <c r="D45" s="1" t="n"/>
      <c r="E45" s="1" t="n"/>
      <c r="F45" s="1" t="n"/>
      <c r="G45" s="1" t="n"/>
      <c r="H45" s="152" t="n"/>
    </row>
    <row r="46" ht="12.75" customHeight="1" s="150">
      <c r="A46" s="1" t="n"/>
      <c r="B46" s="1" t="n"/>
      <c r="C46" s="1" t="n"/>
      <c r="D46" s="1" t="n"/>
      <c r="E46" s="1" t="n"/>
      <c r="F46" s="1" t="n"/>
      <c r="G46" s="1" t="n"/>
      <c r="H46" s="152" t="n"/>
    </row>
    <row r="47" ht="12.75" customHeight="1" s="150">
      <c r="A47" s="1" t="n"/>
      <c r="B47" s="1" t="n"/>
      <c r="C47" s="1" t="n"/>
      <c r="D47" s="1" t="n"/>
      <c r="E47" s="1" t="n"/>
      <c r="F47" s="1" t="n"/>
      <c r="G47" s="1" t="n"/>
      <c r="H47" s="152" t="n"/>
    </row>
    <row r="48" ht="12.75" customHeight="1" s="150">
      <c r="A48" s="1" t="n"/>
      <c r="B48" s="1" t="n"/>
      <c r="C48" s="1" t="n"/>
      <c r="D48" s="1" t="n"/>
      <c r="E48" s="1" t="n"/>
      <c r="F48" s="1" t="n"/>
      <c r="G48" s="1" t="n"/>
      <c r="H48" s="152" t="n"/>
    </row>
    <row r="49" ht="12.75" customHeight="1" s="150">
      <c r="A49" s="1" t="n"/>
      <c r="B49" s="1" t="n"/>
      <c r="C49" s="1" t="n"/>
      <c r="D49" s="1" t="n"/>
      <c r="E49" s="1" t="n"/>
      <c r="F49" s="1" t="n"/>
      <c r="G49" s="1" t="n"/>
      <c r="H49" s="152" t="n"/>
    </row>
    <row r="50" ht="12.75" customHeight="1" s="150">
      <c r="A50" s="1" t="n"/>
      <c r="B50" s="1" t="n"/>
      <c r="C50" s="1" t="n"/>
      <c r="D50" s="1" t="n"/>
      <c r="E50" s="1" t="n"/>
      <c r="F50" s="1" t="n"/>
      <c r="G50" s="1" t="n"/>
      <c r="H50" s="152" t="n"/>
    </row>
    <row r="51" ht="12.75" customHeight="1" s="150">
      <c r="A51" s="1" t="n"/>
      <c r="B51" s="1" t="n"/>
      <c r="C51" s="1" t="n"/>
      <c r="D51" s="1" t="n"/>
      <c r="E51" s="1" t="n"/>
      <c r="F51" s="1" t="n"/>
      <c r="G51" s="1" t="n"/>
      <c r="H51" s="152" t="n"/>
    </row>
    <row r="52" ht="12.75" customHeight="1" s="150">
      <c r="A52" s="1" t="n"/>
      <c r="B52" s="1" t="n"/>
      <c r="C52" s="1" t="n"/>
      <c r="D52" s="1" t="n"/>
      <c r="E52" s="1" t="n"/>
      <c r="F52" s="1" t="n"/>
      <c r="G52" s="1" t="n"/>
      <c r="H52" s="152" t="n"/>
    </row>
    <row r="53" ht="12.75" customHeight="1" s="150">
      <c r="A53" s="1" t="n"/>
      <c r="B53" s="1" t="n"/>
      <c r="C53" s="1" t="n"/>
      <c r="D53" s="1" t="n"/>
      <c r="E53" s="1" t="n"/>
      <c r="F53" s="1" t="n"/>
      <c r="G53" s="1" t="n"/>
      <c r="H53" s="152" t="n"/>
    </row>
    <row r="54" ht="12.75" customHeight="1" s="150">
      <c r="A54" s="1" t="n"/>
      <c r="B54" s="1" t="n"/>
      <c r="C54" s="1" t="n"/>
      <c r="D54" s="1" t="n"/>
      <c r="E54" s="1" t="n"/>
      <c r="F54" s="1" t="n"/>
      <c r="G54" s="1" t="n"/>
      <c r="H54" s="152" t="n"/>
    </row>
    <row r="55" ht="12.75" customHeight="1" s="150">
      <c r="A55" s="1" t="n"/>
      <c r="B55" s="1" t="n"/>
      <c r="C55" s="1" t="n"/>
      <c r="D55" s="1" t="n"/>
      <c r="E55" s="1" t="n"/>
      <c r="F55" s="1" t="n"/>
      <c r="G55" s="1" t="n"/>
      <c r="H55" s="152" t="n"/>
    </row>
    <row r="56" ht="12.75" customHeight="1" s="150">
      <c r="A56" s="1" t="n"/>
      <c r="B56" s="1" t="n"/>
      <c r="C56" s="1" t="n"/>
      <c r="D56" s="1" t="n"/>
      <c r="E56" s="1" t="n"/>
      <c r="F56" s="1" t="n"/>
      <c r="G56" s="1" t="n"/>
      <c r="H56" s="152" t="n"/>
    </row>
    <row r="57" ht="12.75" customHeight="1" s="150">
      <c r="A57" s="1" t="n"/>
      <c r="B57" s="1" t="n"/>
      <c r="C57" s="1" t="n"/>
      <c r="D57" s="1" t="n"/>
      <c r="E57" s="1" t="n"/>
      <c r="F57" s="1" t="n"/>
      <c r="G57" s="1" t="n"/>
      <c r="H57" s="152" t="n"/>
    </row>
    <row r="58" ht="12.75" customHeight="1" s="150">
      <c r="A58" s="1" t="n"/>
      <c r="B58" s="1" t="n"/>
      <c r="C58" s="1" t="n"/>
      <c r="D58" s="1" t="n"/>
      <c r="E58" s="1" t="n"/>
      <c r="F58" s="1" t="n"/>
      <c r="G58" s="1" t="n"/>
      <c r="H58" s="152" t="n"/>
    </row>
    <row r="59" ht="12.75" customHeight="1" s="150">
      <c r="A59" s="1" t="n"/>
      <c r="B59" s="1" t="n"/>
      <c r="C59" s="1" t="n"/>
      <c r="D59" s="1" t="n"/>
      <c r="E59" s="1" t="n"/>
      <c r="F59" s="1" t="n"/>
      <c r="G59" s="1" t="n"/>
      <c r="H59" s="152" t="n"/>
    </row>
    <row r="60" ht="12.75" customHeight="1" s="150">
      <c r="A60" s="1" t="n"/>
      <c r="B60" s="1" t="n"/>
      <c r="C60" s="1" t="n"/>
      <c r="D60" s="1" t="n"/>
      <c r="E60" s="1" t="n"/>
      <c r="F60" s="1" t="n"/>
      <c r="G60" s="1" t="n"/>
      <c r="H60" s="152" t="n"/>
    </row>
    <row r="61" ht="12.75" customHeight="1" s="150">
      <c r="A61" s="1" t="n"/>
      <c r="B61" s="1" t="n"/>
      <c r="C61" s="1" t="n"/>
      <c r="D61" s="1" t="n"/>
      <c r="E61" s="1" t="n"/>
      <c r="F61" s="1" t="n"/>
      <c r="G61" s="1" t="n"/>
      <c r="H61" s="152" t="n"/>
    </row>
    <row r="62" ht="12.75" customHeight="1" s="150">
      <c r="A62" s="1" t="n"/>
      <c r="B62" s="1" t="n"/>
      <c r="C62" s="1" t="n"/>
      <c r="D62" s="1" t="n"/>
      <c r="E62" s="1" t="n"/>
      <c r="F62" s="1" t="n"/>
      <c r="G62" s="1" t="n"/>
      <c r="H62" s="152" t="n"/>
    </row>
    <row r="63" ht="12.75" customHeight="1" s="150">
      <c r="A63" s="1" t="n"/>
      <c r="B63" s="1" t="n"/>
      <c r="C63" s="1" t="n"/>
      <c r="D63" s="1" t="n"/>
      <c r="E63" s="1" t="n"/>
      <c r="F63" s="1" t="n"/>
      <c r="G63" s="1" t="n"/>
      <c r="H63" s="152" t="n"/>
    </row>
    <row r="64" ht="12.75" customHeight="1" s="150">
      <c r="A64" s="1" t="n"/>
      <c r="B64" s="1" t="n"/>
      <c r="C64" s="1" t="n"/>
      <c r="D64" s="1" t="n"/>
      <c r="E64" s="1" t="n"/>
      <c r="F64" s="1" t="n"/>
      <c r="G64" s="1" t="n"/>
      <c r="H64" s="152" t="n"/>
    </row>
    <row r="65" ht="12.75" customHeight="1" s="150">
      <c r="A65" s="1" t="n"/>
      <c r="B65" s="1" t="n"/>
      <c r="C65" s="1" t="n"/>
      <c r="D65" s="1" t="n"/>
      <c r="E65" s="1" t="n"/>
      <c r="F65" s="1" t="n"/>
      <c r="G65" s="1" t="n"/>
      <c r="H65" s="152" t="n"/>
    </row>
    <row r="66" ht="12.75" customHeight="1" s="150">
      <c r="A66" s="1" t="n"/>
      <c r="B66" s="1" t="n"/>
      <c r="C66" s="1" t="n"/>
      <c r="D66" s="1" t="n"/>
      <c r="E66" s="1" t="n"/>
      <c r="F66" s="1" t="n"/>
      <c r="G66" s="1" t="n"/>
      <c r="H66" s="152" t="n"/>
    </row>
    <row r="67" ht="12.75" customHeight="1" s="150">
      <c r="A67" s="1" t="n"/>
      <c r="B67" s="1" t="n"/>
      <c r="C67" s="1" t="n"/>
      <c r="D67" s="1" t="n"/>
      <c r="E67" s="1" t="n"/>
      <c r="F67" s="1" t="n"/>
      <c r="G67" s="1" t="n"/>
      <c r="H67" s="152" t="n"/>
    </row>
    <row r="68" ht="12.75" customHeight="1" s="150">
      <c r="A68" s="1" t="n"/>
      <c r="B68" s="1" t="n"/>
      <c r="C68" s="1" t="n"/>
      <c r="D68" s="1" t="n"/>
      <c r="E68" s="1" t="n"/>
      <c r="F68" s="1" t="n"/>
      <c r="G68" s="1" t="n"/>
      <c r="H68" s="152" t="n"/>
    </row>
    <row r="69" ht="12.75" customHeight="1" s="150">
      <c r="A69" s="1" t="n"/>
      <c r="B69" s="1" t="n"/>
      <c r="C69" s="1" t="n"/>
      <c r="D69" s="1" t="n"/>
      <c r="E69" s="1" t="n"/>
      <c r="F69" s="1" t="n"/>
      <c r="G69" s="1" t="n"/>
      <c r="H69" s="152" t="n"/>
    </row>
    <row r="70" ht="12.75" customHeight="1" s="150">
      <c r="A70" s="1" t="n"/>
      <c r="B70" s="1" t="n"/>
      <c r="C70" s="1" t="n"/>
      <c r="D70" s="1" t="n"/>
      <c r="E70" s="1" t="n"/>
      <c r="F70" s="1" t="n"/>
      <c r="G70" s="1" t="n"/>
      <c r="H70" s="152" t="n"/>
    </row>
    <row r="71" ht="12.75" customHeight="1" s="150">
      <c r="A71" s="1" t="n"/>
      <c r="B71" s="1" t="n"/>
      <c r="C71" s="1" t="n"/>
      <c r="D71" s="1" t="n"/>
      <c r="E71" s="1" t="n"/>
      <c r="F71" s="1" t="n"/>
      <c r="G71" s="1" t="n"/>
      <c r="H71" s="152" t="n"/>
    </row>
    <row r="72" ht="12.75" customHeight="1" s="150">
      <c r="A72" s="1" t="n"/>
      <c r="B72" s="1" t="n"/>
      <c r="C72" s="1" t="n"/>
      <c r="D72" s="1" t="n"/>
      <c r="E72" s="1" t="n"/>
      <c r="F72" s="1" t="n"/>
      <c r="G72" s="1" t="n"/>
      <c r="H72" s="152" t="n"/>
    </row>
    <row r="73" ht="12.75" customHeight="1" s="150">
      <c r="A73" s="1" t="n"/>
      <c r="B73" s="1" t="n"/>
      <c r="C73" s="1" t="n"/>
      <c r="D73" s="1" t="n"/>
      <c r="E73" s="1" t="n"/>
      <c r="F73" s="1" t="n"/>
      <c r="G73" s="1" t="n"/>
      <c r="H73" s="152" t="n"/>
    </row>
    <row r="74" ht="12.75" customHeight="1" s="150">
      <c r="A74" s="1" t="n"/>
      <c r="B74" s="1" t="n"/>
      <c r="C74" s="1" t="n"/>
      <c r="D74" s="1" t="n"/>
      <c r="E74" s="1" t="n"/>
      <c r="F74" s="1" t="n"/>
      <c r="G74" s="1" t="n"/>
      <c r="H74" s="152" t="n"/>
    </row>
    <row r="75" ht="12.75" customHeight="1" s="150">
      <c r="A75" s="1" t="n"/>
      <c r="B75" s="1" t="n"/>
      <c r="C75" s="1" t="n"/>
      <c r="D75" s="1" t="n"/>
      <c r="E75" s="1" t="n"/>
      <c r="F75" s="1" t="n"/>
      <c r="G75" s="1" t="n"/>
      <c r="H75" s="152" t="n"/>
    </row>
    <row r="76" ht="12.75" customHeight="1" s="150">
      <c r="A76" s="1" t="n"/>
      <c r="B76" s="1" t="n"/>
      <c r="C76" s="1" t="n"/>
      <c r="D76" s="1" t="n"/>
      <c r="E76" s="1" t="n"/>
      <c r="F76" s="1" t="n"/>
      <c r="G76" s="1" t="n"/>
      <c r="H76" s="152" t="n"/>
    </row>
    <row r="77" ht="12.75" customHeight="1" s="150">
      <c r="A77" s="1" t="n"/>
      <c r="B77" s="1" t="n"/>
      <c r="C77" s="1" t="n"/>
      <c r="D77" s="1" t="n"/>
      <c r="E77" s="1" t="n"/>
      <c r="F77" s="1" t="n"/>
      <c r="G77" s="1" t="n"/>
      <c r="H77" s="152" t="n"/>
    </row>
    <row r="78" ht="12.75" customHeight="1" s="150">
      <c r="A78" s="1" t="n"/>
      <c r="B78" s="1" t="n"/>
      <c r="C78" s="1" t="n"/>
      <c r="D78" s="1" t="n"/>
      <c r="E78" s="1" t="n"/>
      <c r="F78" s="1" t="n"/>
      <c r="G78" s="1" t="n"/>
      <c r="H78" s="152" t="n"/>
    </row>
    <row r="79" ht="12.75" customHeight="1" s="150">
      <c r="A79" s="1" t="n"/>
      <c r="B79" s="1" t="n"/>
      <c r="C79" s="1" t="n"/>
      <c r="D79" s="1" t="n"/>
      <c r="E79" s="1" t="n"/>
      <c r="F79" s="1" t="n"/>
      <c r="G79" s="1" t="n"/>
      <c r="H79" s="152" t="n"/>
    </row>
    <row r="80" ht="12.75" customHeight="1" s="150">
      <c r="A80" s="1" t="n"/>
      <c r="B80" s="1" t="n"/>
      <c r="C80" s="1" t="n"/>
      <c r="D80" s="1" t="n"/>
      <c r="E80" s="1" t="n"/>
      <c r="F80" s="1" t="n"/>
      <c r="G80" s="1" t="n"/>
      <c r="H80" s="152" t="n"/>
    </row>
    <row r="81" ht="12.75" customHeight="1" s="150">
      <c r="A81" s="1" t="n"/>
      <c r="B81" s="1" t="n"/>
      <c r="C81" s="1" t="n"/>
      <c r="D81" s="1" t="n"/>
      <c r="E81" s="1" t="n"/>
      <c r="F81" s="1" t="n"/>
      <c r="G81" s="1" t="n"/>
      <c r="H81" s="152" t="n"/>
    </row>
    <row r="82" ht="12.75" customHeight="1" s="150">
      <c r="A82" s="1" t="n"/>
      <c r="B82" s="1" t="n"/>
      <c r="C82" s="1" t="n"/>
      <c r="D82" s="1" t="n"/>
      <c r="E82" s="1" t="n"/>
      <c r="F82" s="1" t="n"/>
      <c r="G82" s="1" t="n"/>
      <c r="H82" s="152" t="n"/>
    </row>
    <row r="83" ht="12.75" customHeight="1" s="150">
      <c r="A83" s="1" t="n"/>
      <c r="B83" s="1" t="n"/>
      <c r="C83" s="1" t="n"/>
      <c r="D83" s="1" t="n"/>
      <c r="E83" s="1" t="n"/>
      <c r="F83" s="1" t="n"/>
      <c r="G83" s="1" t="n"/>
      <c r="H83" s="152" t="n"/>
    </row>
    <row r="84" ht="12.75" customHeight="1" s="150">
      <c r="A84" s="1" t="n"/>
      <c r="B84" s="1" t="n"/>
      <c r="C84" s="1" t="n"/>
      <c r="D84" s="1" t="n"/>
      <c r="E84" s="1" t="n"/>
      <c r="F84" s="1" t="n"/>
      <c r="G84" s="1" t="n"/>
      <c r="H84" s="152" t="n"/>
    </row>
    <row r="85" ht="12.75" customHeight="1" s="150">
      <c r="B85" s="1" t="n"/>
      <c r="C85" s="1" t="n"/>
      <c r="D85" s="1" t="n"/>
      <c r="E85" s="1" t="n"/>
      <c r="F85" s="1" t="n"/>
      <c r="G85" s="1" t="n"/>
      <c r="H85" s="152" t="n"/>
    </row>
    <row r="86" ht="12.75" customHeight="1" s="150">
      <c r="B86" s="1" t="n"/>
      <c r="C86" s="1" t="n"/>
      <c r="D86" s="1" t="n"/>
      <c r="E86" s="1" t="n"/>
      <c r="F86" s="1" t="n"/>
      <c r="G86" s="1" t="n"/>
      <c r="H86" s="152" t="n"/>
    </row>
    <row r="87" ht="12.75" customHeight="1" s="150">
      <c r="B87" s="1" t="n"/>
      <c r="C87" s="1" t="n"/>
      <c r="D87" s="1" t="n"/>
      <c r="E87" s="1" t="n"/>
      <c r="F87" s="1" t="n"/>
      <c r="G87" s="1" t="n"/>
      <c r="H87" s="152" t="n"/>
    </row>
    <row r="88" ht="12.75" customHeight="1" s="150">
      <c r="B88" s="1" t="n"/>
      <c r="C88" s="1" t="n"/>
      <c r="D88" s="1" t="n"/>
      <c r="E88" s="1" t="n"/>
      <c r="F88" s="1" t="n"/>
      <c r="G88" s="1" t="n"/>
      <c r="H88" s="152" t="n"/>
    </row>
    <row r="89" ht="12.75" customHeight="1" s="150">
      <c r="B89" s="1" t="n"/>
      <c r="C89" s="1" t="n"/>
      <c r="D89" s="1" t="n"/>
      <c r="E89" s="1" t="n"/>
      <c r="F89" s="1" t="n"/>
      <c r="G89" s="1" t="n"/>
      <c r="H89" s="152" t="n"/>
    </row>
    <row r="90" ht="12.75" customHeight="1" s="150">
      <c r="B90" s="1" t="n"/>
      <c r="C90" s="1" t="n"/>
      <c r="D90" s="1" t="n"/>
      <c r="E90" s="1" t="n"/>
      <c r="F90" s="1" t="n"/>
      <c r="G90" s="1" t="n"/>
      <c r="H90" s="152" t="n"/>
    </row>
    <row r="91" ht="12.75" customHeight="1" s="150">
      <c r="B91" s="1" t="n"/>
      <c r="C91" s="1" t="n"/>
      <c r="D91" s="1" t="n"/>
      <c r="E91" s="1" t="n"/>
      <c r="F91" s="1" t="n"/>
      <c r="G91" s="1" t="n"/>
      <c r="H91" s="152" t="n"/>
    </row>
    <row r="92" ht="12.75" customHeight="1" s="150">
      <c r="B92" s="1" t="n"/>
      <c r="C92" s="1" t="n"/>
      <c r="D92" s="1" t="n"/>
      <c r="E92" s="1" t="n"/>
      <c r="F92" s="1" t="n"/>
      <c r="G92" s="1" t="n"/>
      <c r="H92" s="152" t="n"/>
    </row>
    <row r="93" ht="12.75" customHeight="1" s="150">
      <c r="B93" s="1" t="n"/>
      <c r="C93" s="1" t="n"/>
      <c r="D93" s="1" t="n"/>
      <c r="E93" s="1" t="n"/>
      <c r="F93" s="1" t="n"/>
      <c r="G93" s="1" t="n"/>
      <c r="H93" s="152" t="n"/>
    </row>
    <row r="94" ht="12.75" customHeight="1" s="150">
      <c r="B94" s="1" t="n"/>
      <c r="C94" s="1" t="n"/>
      <c r="D94" s="1" t="n"/>
      <c r="E94" s="1" t="n"/>
      <c r="F94" s="1" t="n"/>
      <c r="G94" s="1" t="n"/>
      <c r="H94" s="152" t="n"/>
    </row>
    <row r="95" ht="12.75" customHeight="1" s="150">
      <c r="B95" s="1" t="n"/>
      <c r="C95" s="1" t="n"/>
      <c r="D95" s="1" t="n"/>
      <c r="E95" s="1" t="n"/>
      <c r="F95" s="1" t="n"/>
      <c r="G95" s="1" t="n"/>
      <c r="H95" s="152" t="n"/>
    </row>
    <row r="96" ht="12.75" customHeight="1" s="150">
      <c r="B96" s="1" t="n"/>
      <c r="C96" s="1" t="n"/>
      <c r="D96" s="1" t="n"/>
      <c r="E96" s="1" t="n"/>
      <c r="F96" s="1" t="n"/>
      <c r="G96" s="1" t="n"/>
      <c r="H96" s="152" t="n"/>
    </row>
    <row r="97" ht="12.75" customHeight="1" s="150">
      <c r="B97" s="1" t="n"/>
      <c r="C97" s="1" t="n"/>
      <c r="D97" s="1" t="n"/>
      <c r="E97" s="1" t="n"/>
      <c r="F97" s="1" t="n"/>
      <c r="G97" s="1" t="n"/>
      <c r="H97" s="152" t="n"/>
    </row>
    <row r="98" ht="12.75" customHeight="1" s="150">
      <c r="B98" s="1" t="n"/>
      <c r="C98" s="1" t="n"/>
      <c r="D98" s="1" t="n"/>
      <c r="E98" s="1" t="n"/>
      <c r="F98" s="1" t="n"/>
      <c r="G98" s="1" t="n"/>
      <c r="H98" s="152" t="n"/>
    </row>
    <row r="99" ht="12.75" customHeight="1" s="150">
      <c r="B99" s="1" t="n"/>
      <c r="C99" s="1" t="n"/>
      <c r="D99" s="1" t="n"/>
      <c r="E99" s="1" t="n"/>
      <c r="F99" s="1" t="n"/>
      <c r="G99" s="1" t="n"/>
      <c r="H99" s="152" t="n"/>
    </row>
    <row r="100" ht="12.75" customHeight="1" s="150">
      <c r="B100" s="1" t="n"/>
      <c r="C100" s="1" t="n"/>
      <c r="D100" s="1" t="n"/>
      <c r="E100" s="1" t="n"/>
      <c r="F100" s="1" t="n"/>
      <c r="G100" s="1" t="n"/>
      <c r="H100" s="152" t="n"/>
    </row>
    <row r="101" ht="12.75" customHeight="1" s="150">
      <c r="B101" s="1" t="n"/>
      <c r="C101" s="1" t="n"/>
      <c r="D101" s="1" t="n"/>
      <c r="E101" s="1" t="n"/>
      <c r="F101" s="1" t="n"/>
      <c r="G101" s="1" t="n"/>
      <c r="H101" s="152" t="n"/>
    </row>
    <row r="102" ht="12.75" customHeight="1" s="150">
      <c r="B102" s="1" t="n"/>
      <c r="C102" s="1" t="n"/>
      <c r="D102" s="1" t="n"/>
      <c r="E102" s="1" t="n"/>
      <c r="F102" s="1" t="n"/>
      <c r="G102" s="1" t="n"/>
      <c r="H102" s="152" t="n"/>
    </row>
    <row r="103" ht="12.75" customHeight="1" s="150">
      <c r="B103" s="1" t="n"/>
      <c r="C103" s="1" t="n"/>
      <c r="D103" s="1" t="n"/>
      <c r="E103" s="1" t="n"/>
      <c r="F103" s="1" t="n"/>
      <c r="G103" s="1" t="n"/>
      <c r="H103" s="152" t="n"/>
    </row>
    <row r="104" ht="12.75" customHeight="1" s="150">
      <c r="B104" s="1" t="n"/>
      <c r="C104" s="1" t="n"/>
      <c r="D104" s="1" t="n"/>
      <c r="E104" s="1" t="n"/>
      <c r="F104" s="1" t="n"/>
      <c r="G104" s="1" t="n"/>
      <c r="H104" s="152" t="n"/>
    </row>
    <row r="105" ht="12.75" customHeight="1" s="150">
      <c r="B105" s="1" t="n"/>
      <c r="C105" s="1" t="n"/>
      <c r="D105" s="1" t="n"/>
      <c r="E105" s="1" t="n"/>
      <c r="F105" s="1" t="n"/>
      <c r="G105" s="1" t="n"/>
      <c r="H105" s="152" t="n"/>
    </row>
    <row r="106" ht="12.75" customHeight="1" s="150">
      <c r="B106" s="1" t="n"/>
      <c r="C106" s="1" t="n"/>
      <c r="D106" s="1" t="n"/>
      <c r="E106" s="1" t="n"/>
      <c r="F106" s="1" t="n"/>
      <c r="G106" s="1" t="n"/>
      <c r="H106" s="152" t="n"/>
    </row>
    <row r="107" ht="12.75" customHeight="1" s="150">
      <c r="B107" s="1" t="n"/>
      <c r="C107" s="1" t="n"/>
      <c r="D107" s="1" t="n"/>
      <c r="E107" s="1" t="n"/>
      <c r="F107" s="1" t="n"/>
      <c r="G107" s="1" t="n"/>
      <c r="H107" s="152" t="n"/>
    </row>
    <row r="108" ht="12.75" customHeight="1" s="150">
      <c r="B108" s="1" t="n"/>
      <c r="C108" s="1" t="n"/>
      <c r="D108" s="1" t="n"/>
      <c r="E108" s="1" t="n"/>
      <c r="F108" s="1" t="n"/>
      <c r="G108" s="1" t="n"/>
      <c r="H108" s="152" t="n"/>
    </row>
    <row r="109" ht="12.75" customHeight="1" s="150">
      <c r="B109" s="1" t="n"/>
      <c r="C109" s="1" t="n"/>
      <c r="D109" s="1" t="n"/>
      <c r="E109" s="1" t="n"/>
      <c r="F109" s="1" t="n"/>
      <c r="G109" s="1" t="n"/>
      <c r="H109" s="152" t="n"/>
    </row>
    <row r="110" ht="12.75" customHeight="1" s="150">
      <c r="B110" s="1" t="n"/>
      <c r="C110" s="1" t="n"/>
      <c r="D110" s="1" t="n"/>
      <c r="E110" s="1" t="n"/>
      <c r="F110" s="1" t="n"/>
      <c r="G110" s="1" t="n"/>
      <c r="H110" s="152" t="n"/>
    </row>
    <row r="111" ht="12.75" customHeight="1" s="150">
      <c r="B111" s="1" t="n"/>
      <c r="C111" s="1" t="n"/>
      <c r="D111" s="1" t="n"/>
      <c r="E111" s="1" t="n"/>
      <c r="F111" s="1" t="n"/>
      <c r="G111" s="1" t="n"/>
      <c r="H111" s="152" t="n"/>
    </row>
    <row r="112" ht="12.75" customHeight="1" s="150">
      <c r="B112" s="1" t="n"/>
      <c r="C112" s="1" t="n"/>
      <c r="D112" s="1" t="n"/>
      <c r="E112" s="1" t="n"/>
      <c r="F112" s="1" t="n"/>
      <c r="G112" s="1" t="n"/>
      <c r="H112" s="152" t="n"/>
    </row>
    <row r="113" ht="12.75" customHeight="1" s="150">
      <c r="B113" s="1" t="n"/>
      <c r="C113" s="1" t="n"/>
      <c r="D113" s="1" t="n"/>
      <c r="E113" s="1" t="n"/>
      <c r="F113" s="1" t="n"/>
      <c r="G113" s="1" t="n"/>
      <c r="H113" s="152" t="n"/>
    </row>
    <row r="114" ht="12.75" customHeight="1" s="150">
      <c r="B114" s="1" t="n"/>
      <c r="C114" s="1" t="n"/>
      <c r="D114" s="1" t="n"/>
      <c r="E114" s="1" t="n"/>
      <c r="F114" s="1" t="n"/>
      <c r="G114" s="1" t="n"/>
      <c r="H114" s="152" t="n"/>
    </row>
    <row r="115" ht="12.75" customHeight="1" s="150">
      <c r="B115" s="1" t="n"/>
      <c r="C115" s="1" t="n"/>
      <c r="D115" s="1" t="n"/>
      <c r="E115" s="1" t="n"/>
      <c r="F115" s="1" t="n"/>
      <c r="G115" s="1" t="n"/>
      <c r="H115" s="152" t="n"/>
    </row>
    <row r="116" ht="12.75" customHeight="1" s="150">
      <c r="B116" s="1" t="n"/>
      <c r="C116" s="1" t="n"/>
      <c r="D116" s="1" t="n"/>
      <c r="E116" s="1" t="n"/>
      <c r="F116" s="1" t="n"/>
      <c r="G116" s="1" t="n"/>
      <c r="H116" s="152" t="n"/>
    </row>
    <row r="117" ht="12.75" customHeight="1" s="150">
      <c r="B117" s="1" t="n"/>
      <c r="C117" s="1" t="n"/>
      <c r="D117" s="1" t="n"/>
      <c r="E117" s="1" t="n"/>
      <c r="F117" s="1" t="n"/>
      <c r="G117" s="1" t="n"/>
      <c r="H117" s="152" t="n"/>
    </row>
    <row r="118" ht="12.75" customHeight="1" s="150">
      <c r="B118" s="1" t="n"/>
      <c r="C118" s="1" t="n"/>
      <c r="D118" s="1" t="n"/>
      <c r="E118" s="1" t="n"/>
      <c r="F118" s="1" t="n"/>
      <c r="G118" s="1" t="n"/>
      <c r="H118" s="152" t="n"/>
    </row>
    <row r="119" ht="12.75" customHeight="1" s="150">
      <c r="B119" s="1" t="n"/>
      <c r="C119" s="1" t="n"/>
      <c r="D119" s="1" t="n"/>
      <c r="E119" s="1" t="n"/>
      <c r="F119" s="1" t="n"/>
      <c r="G119" s="1" t="n"/>
      <c r="H119" s="152" t="n"/>
    </row>
    <row r="120" ht="12.75" customHeight="1" s="150">
      <c r="B120" s="1" t="n"/>
      <c r="C120" s="1" t="n"/>
      <c r="D120" s="1" t="n"/>
      <c r="E120" s="1" t="n"/>
      <c r="F120" s="1" t="n"/>
      <c r="G120" s="1" t="n"/>
      <c r="H120" s="152" t="n"/>
    </row>
    <row r="121" ht="12.75" customHeight="1" s="150">
      <c r="B121" s="1" t="n"/>
      <c r="C121" s="1" t="n"/>
      <c r="D121" s="1" t="n"/>
      <c r="E121" s="1" t="n"/>
      <c r="F121" s="1" t="n"/>
      <c r="G121" s="1" t="n"/>
      <c r="H121" s="152" t="n"/>
    </row>
    <row r="122" ht="12.75" customHeight="1" s="150">
      <c r="B122" s="1" t="n"/>
      <c r="C122" s="1" t="n"/>
      <c r="D122" s="1" t="n"/>
      <c r="E122" s="1" t="n"/>
      <c r="F122" s="1" t="n"/>
      <c r="G122" s="1" t="n"/>
      <c r="H122" s="152" t="n"/>
    </row>
    <row r="123" ht="12.75" customHeight="1" s="150">
      <c r="B123" s="1" t="n"/>
      <c r="C123" s="1" t="n"/>
      <c r="D123" s="1" t="n"/>
      <c r="E123" s="1" t="n"/>
      <c r="F123" s="1" t="n"/>
      <c r="G123" s="1" t="n"/>
      <c r="H123" s="152" t="n"/>
    </row>
    <row r="124" ht="12.75" customHeight="1" s="150">
      <c r="B124" s="1" t="n"/>
      <c r="C124" s="1" t="n"/>
      <c r="D124" s="1" t="n"/>
      <c r="E124" s="1" t="n"/>
      <c r="F124" s="1" t="n"/>
      <c r="G124" s="1" t="n"/>
      <c r="H124" s="152" t="n"/>
    </row>
    <row r="125" ht="12.75" customHeight="1" s="150">
      <c r="B125" s="1" t="n"/>
      <c r="C125" s="1" t="n"/>
      <c r="D125" s="1" t="n"/>
      <c r="E125" s="1" t="n"/>
      <c r="F125" s="1" t="n"/>
      <c r="G125" s="1" t="n"/>
      <c r="H125" s="152" t="n"/>
    </row>
    <row r="126" ht="12.75" customHeight="1" s="150">
      <c r="B126" s="44" t="n"/>
      <c r="C126" s="44" t="n"/>
      <c r="D126" s="44" t="n"/>
      <c r="E126" s="44" t="n"/>
      <c r="F126" s="44" t="n"/>
      <c r="G126" s="44" t="n"/>
      <c r="H126" s="159" t="n"/>
    </row>
    <row r="127" ht="12.75" customHeight="1" s="150">
      <c r="B127" s="44" t="n"/>
      <c r="C127" s="44" t="n"/>
      <c r="D127" s="44" t="n"/>
      <c r="E127" s="44" t="n"/>
      <c r="F127" s="44" t="n"/>
      <c r="G127" s="44" t="n"/>
      <c r="H127" s="159" t="n"/>
    </row>
    <row r="128" ht="12.75" customHeight="1" s="150">
      <c r="B128" s="44" t="n"/>
      <c r="C128" s="44" t="n"/>
      <c r="D128" s="44" t="n"/>
      <c r="E128" s="44" t="n"/>
      <c r="F128" s="44" t="n"/>
      <c r="G128" s="44" t="n"/>
      <c r="H128" s="159" t="n"/>
    </row>
    <row r="129" ht="12.75" customHeight="1" s="150">
      <c r="B129" s="44" t="n"/>
      <c r="C129" s="44" t="n"/>
      <c r="D129" s="44" t="n"/>
      <c r="E129" s="44" t="n"/>
      <c r="F129" s="44" t="n"/>
      <c r="G129" s="44" t="n"/>
      <c r="H129" s="159" t="n"/>
    </row>
    <row r="130" ht="12.75" customHeight="1" s="150">
      <c r="B130" s="44" t="n"/>
      <c r="C130" s="44" t="n"/>
      <c r="D130" s="44" t="n"/>
      <c r="E130" s="44" t="n"/>
      <c r="F130" s="44" t="n"/>
      <c r="G130" s="44" t="n"/>
      <c r="H130" s="159" t="n"/>
    </row>
    <row r="131" ht="12.75" customHeight="1" s="150">
      <c r="B131" s="44" t="n"/>
      <c r="C131" s="44" t="n"/>
      <c r="D131" s="44" t="n"/>
      <c r="E131" s="44" t="n"/>
      <c r="F131" s="44" t="n"/>
      <c r="G131" s="44" t="n"/>
      <c r="H131" s="159" t="n"/>
    </row>
    <row r="132" ht="12.75" customHeight="1" s="150">
      <c r="B132" s="44" t="n"/>
      <c r="C132" s="44" t="n"/>
      <c r="D132" s="44" t="n"/>
      <c r="E132" s="44" t="n"/>
      <c r="F132" s="44" t="n"/>
      <c r="G132" s="44" t="n"/>
      <c r="H132" s="159" t="n"/>
    </row>
    <row r="133" ht="12.75" customHeight="1" s="150">
      <c r="B133" s="44" t="n"/>
      <c r="C133" s="44" t="n"/>
      <c r="D133" s="44" t="n"/>
      <c r="E133" s="44" t="n"/>
      <c r="F133" s="44" t="n"/>
      <c r="G133" s="44" t="n"/>
      <c r="H133" s="159" t="n"/>
    </row>
    <row r="134" ht="12.75" customHeight="1" s="150">
      <c r="B134" s="44" t="n"/>
      <c r="C134" s="44" t="n"/>
      <c r="D134" s="44" t="n"/>
      <c r="E134" s="44" t="n"/>
      <c r="F134" s="44" t="n"/>
      <c r="G134" s="44" t="n"/>
      <c r="H134" s="159" t="n"/>
    </row>
    <row r="135" ht="12.75" customHeight="1" s="150">
      <c r="B135" s="44" t="n"/>
      <c r="C135" s="44" t="n"/>
      <c r="D135" s="44" t="n"/>
      <c r="E135" s="44" t="n"/>
      <c r="F135" s="44" t="n"/>
      <c r="G135" s="44" t="n"/>
      <c r="H135" s="159" t="n"/>
    </row>
    <row r="136" ht="12.75" customHeight="1" s="150">
      <c r="B136" s="44" t="n"/>
      <c r="C136" s="44" t="n"/>
      <c r="D136" s="44" t="n"/>
      <c r="E136" s="44" t="n"/>
      <c r="F136" s="44" t="n"/>
      <c r="G136" s="44" t="n"/>
      <c r="H136" s="159" t="n"/>
    </row>
    <row r="137" ht="12.75" customHeight="1" s="150">
      <c r="B137" s="44" t="n"/>
      <c r="C137" s="44" t="n"/>
      <c r="D137" s="44" t="n"/>
      <c r="E137" s="44" t="n"/>
      <c r="F137" s="44" t="n"/>
      <c r="G137" s="44" t="n"/>
      <c r="H137" s="159" t="n"/>
    </row>
    <row r="138" ht="12.75" customHeight="1" s="150">
      <c r="B138" s="44" t="n"/>
      <c r="C138" s="44" t="n"/>
      <c r="D138" s="44" t="n"/>
      <c r="E138" s="44" t="n"/>
      <c r="F138" s="44" t="n"/>
      <c r="G138" s="44" t="n"/>
      <c r="H138" s="159" t="n"/>
    </row>
    <row r="139" ht="12.75" customHeight="1" s="150">
      <c r="B139" s="44" t="n"/>
      <c r="C139" s="44" t="n"/>
      <c r="D139" s="44" t="n"/>
      <c r="E139" s="44" t="n"/>
      <c r="F139" s="44" t="n"/>
      <c r="G139" s="44" t="n"/>
      <c r="H139" s="159" t="n"/>
    </row>
    <row r="140" ht="12.75" customHeight="1" s="150">
      <c r="B140" s="44" t="n"/>
      <c r="C140" s="44" t="n"/>
      <c r="D140" s="44" t="n"/>
      <c r="E140" s="44" t="n"/>
      <c r="F140" s="44" t="n"/>
      <c r="G140" s="44" t="n"/>
      <c r="H140" s="159" t="n"/>
    </row>
    <row r="141" ht="12.75" customHeight="1" s="150">
      <c r="B141" s="44" t="n"/>
      <c r="C141" s="44" t="n"/>
      <c r="D141" s="44" t="n"/>
      <c r="E141" s="44" t="n"/>
      <c r="F141" s="44" t="n"/>
      <c r="G141" s="44" t="n"/>
      <c r="H141" s="159" t="n"/>
    </row>
    <row r="142" ht="12.75" customHeight="1" s="150">
      <c r="B142" s="44" t="n"/>
      <c r="C142" s="44" t="n"/>
      <c r="D142" s="44" t="n"/>
      <c r="E142" s="44" t="n"/>
      <c r="F142" s="44" t="n"/>
      <c r="G142" s="44" t="n"/>
      <c r="H142" s="159" t="n"/>
    </row>
    <row r="143" ht="12.75" customHeight="1" s="150">
      <c r="B143" s="44" t="n"/>
      <c r="C143" s="44" t="n"/>
      <c r="D143" s="44" t="n"/>
      <c r="E143" s="44" t="n"/>
      <c r="F143" s="44" t="n"/>
      <c r="G143" s="44" t="n"/>
      <c r="H143" s="159" t="n"/>
    </row>
    <row r="144" ht="12.75" customHeight="1" s="150">
      <c r="B144" s="44" t="n"/>
      <c r="C144" s="44" t="n"/>
      <c r="D144" s="44" t="n"/>
      <c r="E144" s="44" t="n"/>
      <c r="F144" s="44" t="n"/>
      <c r="G144" s="44" t="n"/>
      <c r="H144" s="159" t="n"/>
    </row>
    <row r="145" ht="12.75" customHeight="1" s="150">
      <c r="B145" s="44" t="n"/>
      <c r="C145" s="44" t="n"/>
      <c r="D145" s="44" t="n"/>
      <c r="E145" s="44" t="n"/>
      <c r="F145" s="44" t="n"/>
      <c r="G145" s="44" t="n"/>
      <c r="H145" s="159" t="n"/>
    </row>
    <row r="146" ht="12.75" customHeight="1" s="150">
      <c r="B146" s="44" t="n"/>
      <c r="C146" s="44" t="n"/>
      <c r="D146" s="44" t="n"/>
      <c r="E146" s="44" t="n"/>
      <c r="F146" s="44" t="n"/>
      <c r="G146" s="44" t="n"/>
      <c r="H146" s="159" t="n"/>
    </row>
    <row r="147" ht="12.75" customHeight="1" s="150">
      <c r="B147" s="44" t="n"/>
      <c r="C147" s="44" t="n"/>
      <c r="D147" s="44" t="n"/>
      <c r="E147" s="44" t="n"/>
      <c r="F147" s="44" t="n"/>
      <c r="G147" s="44" t="n"/>
      <c r="H147" s="159" t="n"/>
    </row>
    <row r="148" ht="12.75" customHeight="1" s="150">
      <c r="B148" s="44" t="n"/>
      <c r="C148" s="44" t="n"/>
      <c r="D148" s="44" t="n"/>
      <c r="E148" s="44" t="n"/>
      <c r="F148" s="44" t="n"/>
      <c r="G148" s="44" t="n"/>
      <c r="H148" s="159" t="n"/>
    </row>
    <row r="149" ht="12.75" customHeight="1" s="150">
      <c r="B149" s="44" t="n"/>
      <c r="C149" s="44" t="n"/>
      <c r="D149" s="44" t="n"/>
      <c r="E149" s="44" t="n"/>
      <c r="F149" s="44" t="n"/>
      <c r="G149" s="44" t="n"/>
      <c r="H149" s="159" t="n"/>
    </row>
    <row r="150" ht="12.75" customHeight="1" s="150">
      <c r="B150" s="44" t="n"/>
      <c r="C150" s="44" t="n"/>
      <c r="D150" s="44" t="n"/>
      <c r="E150" s="44" t="n"/>
      <c r="F150" s="44" t="n"/>
      <c r="G150" s="44" t="n"/>
      <c r="H150" s="159" t="n"/>
    </row>
    <row r="151" ht="12.75" customHeight="1" s="150">
      <c r="B151" s="44" t="n"/>
      <c r="C151" s="44" t="n"/>
      <c r="D151" s="44" t="n"/>
      <c r="E151" s="44" t="n"/>
      <c r="F151" s="44" t="n"/>
      <c r="G151" s="44" t="n"/>
      <c r="H151" s="159" t="n"/>
    </row>
    <row r="152" ht="12.75" customHeight="1" s="150">
      <c r="B152" s="44" t="n"/>
      <c r="C152" s="44" t="n"/>
      <c r="D152" s="44" t="n"/>
      <c r="E152" s="44" t="n"/>
      <c r="F152" s="44" t="n"/>
      <c r="G152" s="44" t="n"/>
      <c r="H152" s="159" t="n"/>
    </row>
    <row r="153" ht="12.75" customHeight="1" s="150">
      <c r="B153" s="44" t="n"/>
      <c r="C153" s="44" t="n"/>
      <c r="D153" s="44" t="n"/>
      <c r="E153" s="44" t="n"/>
      <c r="F153" s="44" t="n"/>
      <c r="G153" s="44" t="n"/>
      <c r="H153" s="159" t="n"/>
    </row>
    <row r="154" ht="12.75" customHeight="1" s="150">
      <c r="B154" s="44" t="n"/>
      <c r="C154" s="44" t="n"/>
      <c r="D154" s="44" t="n"/>
      <c r="E154" s="44" t="n"/>
      <c r="F154" s="44" t="n"/>
      <c r="G154" s="44" t="n"/>
      <c r="H154" s="159" t="n"/>
    </row>
    <row r="155" ht="12.75" customHeight="1" s="150">
      <c r="B155" s="44" t="n"/>
      <c r="C155" s="44" t="n"/>
      <c r="D155" s="44" t="n"/>
      <c r="E155" s="44" t="n"/>
      <c r="F155" s="44" t="n"/>
      <c r="G155" s="44" t="n"/>
      <c r="H155" s="159" t="n"/>
    </row>
    <row r="156" ht="12.75" customHeight="1" s="150">
      <c r="B156" s="44" t="n"/>
      <c r="C156" s="44" t="n"/>
      <c r="D156" s="44" t="n"/>
      <c r="E156" s="44" t="n"/>
      <c r="F156" s="44" t="n"/>
      <c r="G156" s="44" t="n"/>
      <c r="H156" s="159" t="n"/>
    </row>
    <row r="157" ht="12.75" customHeight="1" s="150">
      <c r="B157" s="44" t="n"/>
      <c r="C157" s="44" t="n"/>
      <c r="D157" s="44" t="n"/>
      <c r="E157" s="44" t="n"/>
      <c r="F157" s="44" t="n"/>
      <c r="G157" s="44" t="n"/>
      <c r="H157" s="159" t="n"/>
    </row>
    <row r="158" ht="12.75" customHeight="1" s="150">
      <c r="B158" s="44" t="n"/>
      <c r="C158" s="44" t="n"/>
      <c r="D158" s="44" t="n"/>
      <c r="E158" s="44" t="n"/>
      <c r="F158" s="44" t="n"/>
      <c r="G158" s="44" t="n"/>
      <c r="H158" s="159" t="n"/>
    </row>
    <row r="159" ht="12.75" customHeight="1" s="150">
      <c r="B159" s="44" t="n"/>
      <c r="C159" s="44" t="n"/>
      <c r="D159" s="44" t="n"/>
      <c r="E159" s="44" t="n"/>
      <c r="F159" s="44" t="n"/>
      <c r="G159" s="44" t="n"/>
      <c r="H159" s="159" t="n"/>
    </row>
    <row r="160" ht="12.75" customHeight="1" s="150">
      <c r="B160" s="44" t="n"/>
      <c r="C160" s="44" t="n"/>
      <c r="D160" s="44" t="n"/>
      <c r="E160" s="44" t="n"/>
      <c r="F160" s="44" t="n"/>
      <c r="G160" s="44" t="n"/>
      <c r="H160" s="159" t="n"/>
    </row>
    <row r="161" ht="12.75" customHeight="1" s="150">
      <c r="B161" s="44" t="n"/>
      <c r="C161" s="44" t="n"/>
      <c r="D161" s="44" t="n"/>
      <c r="E161" s="44" t="n"/>
      <c r="F161" s="44" t="n"/>
      <c r="G161" s="44" t="n"/>
      <c r="H161" s="159" t="n"/>
    </row>
    <row r="162" ht="12.75" customHeight="1" s="150">
      <c r="B162" s="44" t="n"/>
      <c r="C162" s="44" t="n"/>
      <c r="D162" s="44" t="n"/>
      <c r="E162" s="44" t="n"/>
      <c r="F162" s="44" t="n"/>
      <c r="G162" s="44" t="n"/>
      <c r="H162" s="159" t="n"/>
    </row>
    <row r="163" ht="12.75" customHeight="1" s="150">
      <c r="B163" s="44" t="n"/>
      <c r="C163" s="44" t="n"/>
      <c r="D163" s="44" t="n"/>
      <c r="E163" s="44" t="n"/>
      <c r="F163" s="44" t="n"/>
      <c r="G163" s="44" t="n"/>
      <c r="H163" s="159" t="n"/>
    </row>
    <row r="164" ht="12.75" customHeight="1" s="150">
      <c r="B164" s="44" t="n"/>
      <c r="C164" s="44" t="n"/>
      <c r="D164" s="44" t="n"/>
      <c r="E164" s="44" t="n"/>
      <c r="F164" s="44" t="n"/>
      <c r="G164" s="44" t="n"/>
      <c r="H164" s="159" t="n"/>
    </row>
    <row r="165" ht="12.75" customHeight="1" s="150">
      <c r="B165" s="44" t="n"/>
      <c r="C165" s="44" t="n"/>
      <c r="D165" s="44" t="n"/>
      <c r="E165" s="44" t="n"/>
      <c r="F165" s="44" t="n"/>
      <c r="G165" s="44" t="n"/>
      <c r="H165" s="159" t="n"/>
    </row>
    <row r="166" ht="12.75" customHeight="1" s="150">
      <c r="B166" s="44" t="n"/>
      <c r="C166" s="44" t="n"/>
      <c r="D166" s="44" t="n"/>
      <c r="E166" s="44" t="n"/>
      <c r="F166" s="44" t="n"/>
      <c r="G166" s="44" t="n"/>
      <c r="H166" s="159" t="n"/>
    </row>
    <row r="167" ht="12.75" customHeight="1" s="150">
      <c r="B167" s="44" t="n"/>
      <c r="C167" s="44" t="n"/>
      <c r="D167" s="44" t="n"/>
      <c r="E167" s="44" t="n"/>
      <c r="F167" s="44" t="n"/>
      <c r="G167" s="44" t="n"/>
      <c r="H167" s="159" t="n"/>
    </row>
    <row r="168" ht="12.75" customHeight="1" s="150">
      <c r="B168" s="44" t="n"/>
      <c r="C168" s="44" t="n"/>
      <c r="D168" s="44" t="n"/>
      <c r="E168" s="44" t="n"/>
      <c r="F168" s="44" t="n"/>
      <c r="G168" s="44" t="n"/>
      <c r="H168" s="159" t="n"/>
    </row>
    <row r="169" ht="12.75" customHeight="1" s="150">
      <c r="B169" s="44" t="n"/>
      <c r="C169" s="44" t="n"/>
      <c r="D169" s="44" t="n"/>
      <c r="E169" s="44" t="n"/>
      <c r="F169" s="44" t="n"/>
      <c r="G169" s="44" t="n"/>
      <c r="H169" s="159" t="n"/>
    </row>
    <row r="170" ht="12.75" customHeight="1" s="150">
      <c r="B170" s="44" t="n"/>
      <c r="C170" s="44" t="n"/>
      <c r="D170" s="44" t="n"/>
      <c r="E170" s="44" t="n"/>
      <c r="F170" s="44" t="n"/>
      <c r="G170" s="44" t="n"/>
      <c r="H170" s="159" t="n"/>
    </row>
    <row r="171" ht="12.75" customHeight="1" s="150">
      <c r="B171" s="44" t="n"/>
      <c r="C171" s="44" t="n"/>
      <c r="D171" s="44" t="n"/>
      <c r="E171" s="44" t="n"/>
      <c r="F171" s="44" t="n"/>
      <c r="G171" s="44" t="n"/>
      <c r="H171" s="159" t="n"/>
    </row>
    <row r="172" ht="12.75" customHeight="1" s="150">
      <c r="B172" s="44" t="n"/>
      <c r="C172" s="44" t="n"/>
      <c r="D172" s="44" t="n"/>
      <c r="E172" s="44" t="n"/>
      <c r="F172" s="44" t="n"/>
      <c r="G172" s="44" t="n"/>
      <c r="H172" s="159" t="n"/>
    </row>
    <row r="173" ht="12.75" customHeight="1" s="150">
      <c r="B173" s="44" t="n"/>
      <c r="C173" s="44" t="n"/>
      <c r="D173" s="44" t="n"/>
      <c r="E173" s="44" t="n"/>
      <c r="F173" s="44" t="n"/>
      <c r="G173" s="44" t="n"/>
      <c r="H173" s="159" t="n"/>
    </row>
    <row r="174" ht="12.75" customHeight="1" s="150">
      <c r="B174" s="44" t="n"/>
      <c r="C174" s="44" t="n"/>
      <c r="D174" s="44" t="n"/>
      <c r="E174" s="44" t="n"/>
      <c r="F174" s="44" t="n"/>
      <c r="G174" s="44" t="n"/>
      <c r="H174" s="159" t="n"/>
    </row>
    <row r="175" ht="12.75" customHeight="1" s="150">
      <c r="B175" s="44" t="n"/>
      <c r="C175" s="44" t="n"/>
      <c r="D175" s="44" t="n"/>
      <c r="E175" s="44" t="n"/>
      <c r="F175" s="44" t="n"/>
      <c r="G175" s="44" t="n"/>
      <c r="H175" s="159" t="n"/>
    </row>
    <row r="176" ht="12.75" customHeight="1" s="150">
      <c r="B176" s="44" t="n"/>
      <c r="C176" s="44" t="n"/>
      <c r="D176" s="44" t="n"/>
      <c r="E176" s="44" t="n"/>
      <c r="F176" s="44" t="n"/>
      <c r="G176" s="44" t="n"/>
      <c r="H176" s="159" t="n"/>
    </row>
    <row r="177" ht="12.75" customHeight="1" s="150">
      <c r="B177" s="44" t="n"/>
      <c r="C177" s="44" t="n"/>
      <c r="D177" s="44" t="n"/>
      <c r="E177" s="44" t="n"/>
      <c r="F177" s="44" t="n"/>
      <c r="G177" s="44" t="n"/>
      <c r="H177" s="159" t="n"/>
    </row>
    <row r="178" ht="12.75" customHeight="1" s="150">
      <c r="B178" s="44" t="n"/>
      <c r="C178" s="44" t="n"/>
      <c r="D178" s="44" t="n"/>
      <c r="E178" s="44" t="n"/>
      <c r="F178" s="44" t="n"/>
      <c r="G178" s="44" t="n"/>
      <c r="H178" s="159" t="n"/>
    </row>
    <row r="179" ht="12.75" customHeight="1" s="150">
      <c r="B179" s="44" t="n"/>
      <c r="C179" s="44" t="n"/>
      <c r="D179" s="44" t="n"/>
      <c r="E179" s="44" t="n"/>
      <c r="F179" s="44" t="n"/>
      <c r="G179" s="44" t="n"/>
      <c r="H179" s="159" t="n"/>
    </row>
    <row r="180" ht="12.75" customHeight="1" s="150">
      <c r="B180" s="44" t="n"/>
      <c r="C180" s="44" t="n"/>
      <c r="D180" s="44" t="n"/>
      <c r="E180" s="44" t="n"/>
      <c r="F180" s="44" t="n"/>
      <c r="G180" s="44" t="n"/>
      <c r="H180" s="159" t="n"/>
    </row>
    <row r="181" ht="12.75" customHeight="1" s="150">
      <c r="B181" s="44" t="n"/>
      <c r="C181" s="44" t="n"/>
      <c r="D181" s="44" t="n"/>
      <c r="E181" s="44" t="n"/>
      <c r="F181" s="44" t="n"/>
      <c r="G181" s="44" t="n"/>
      <c r="H181" s="159" t="n"/>
    </row>
    <row r="182" ht="12.75" customHeight="1" s="150">
      <c r="B182" s="44" t="n"/>
      <c r="C182" s="44" t="n"/>
      <c r="D182" s="44" t="n"/>
      <c r="E182" s="44" t="n"/>
      <c r="F182" s="44" t="n"/>
      <c r="G182" s="44" t="n"/>
      <c r="H182" s="159" t="n"/>
    </row>
    <row r="183" ht="12.75" customHeight="1" s="150">
      <c r="B183" s="44" t="n"/>
      <c r="C183" s="44" t="n"/>
      <c r="D183" s="44" t="n"/>
      <c r="E183" s="44" t="n"/>
      <c r="F183" s="44" t="n"/>
      <c r="G183" s="44" t="n"/>
      <c r="H183" s="159" t="n"/>
    </row>
    <row r="184" ht="12.75" customHeight="1" s="150">
      <c r="B184" s="44" t="n"/>
      <c r="C184" s="44" t="n"/>
      <c r="D184" s="44" t="n"/>
      <c r="E184" s="44" t="n"/>
      <c r="F184" s="44" t="n"/>
      <c r="G184" s="44" t="n"/>
      <c r="H184" s="159" t="n"/>
    </row>
    <row r="185" ht="12.75" customHeight="1" s="150">
      <c r="B185" s="44" t="n"/>
      <c r="C185" s="44" t="n"/>
      <c r="D185" s="44" t="n"/>
      <c r="E185" s="44" t="n"/>
      <c r="F185" s="44" t="n"/>
      <c r="G185" s="44" t="n"/>
      <c r="H185" s="159" t="n"/>
    </row>
    <row r="186" ht="12.75" customHeight="1" s="150">
      <c r="B186" s="44" t="n"/>
      <c r="C186" s="44" t="n"/>
      <c r="D186" s="44" t="n"/>
      <c r="E186" s="44" t="n"/>
      <c r="F186" s="44" t="n"/>
      <c r="G186" s="44" t="n"/>
      <c r="H186" s="159" t="n"/>
    </row>
    <row r="187" ht="12.75" customHeight="1" s="150">
      <c r="B187" s="44" t="n"/>
      <c r="C187" s="44" t="n"/>
      <c r="D187" s="44" t="n"/>
      <c r="E187" s="44" t="n"/>
      <c r="F187" s="44" t="n"/>
      <c r="G187" s="44" t="n"/>
      <c r="H187" s="159" t="n"/>
    </row>
    <row r="188" ht="12.75" customHeight="1" s="150">
      <c r="B188" s="44" t="n"/>
      <c r="C188" s="44" t="n"/>
      <c r="D188" s="44" t="n"/>
      <c r="E188" s="44" t="n"/>
      <c r="F188" s="44" t="n"/>
      <c r="G188" s="44" t="n"/>
      <c r="H188" s="159" t="n"/>
    </row>
    <row r="189" ht="12.75" customHeight="1" s="150">
      <c r="B189" s="44" t="n"/>
      <c r="C189" s="44" t="n"/>
      <c r="D189" s="44" t="n"/>
      <c r="E189" s="44" t="n"/>
      <c r="F189" s="44" t="n"/>
      <c r="G189" s="44" t="n"/>
      <c r="H189" s="159" t="n"/>
    </row>
    <row r="190" ht="15.75" customHeight="1" s="150">
      <c r="B190" s="44" t="n"/>
      <c r="C190" s="44" t="n"/>
      <c r="D190" s="44" t="n"/>
      <c r="E190" s="44" t="n"/>
      <c r="F190" s="44" t="n"/>
      <c r="G190" s="44" t="n"/>
      <c r="H190" s="159" t="n"/>
    </row>
    <row r="191" ht="15.75" customHeight="1" s="150">
      <c r="B191" s="44" t="n"/>
      <c r="C191" s="44" t="n"/>
      <c r="D191" s="44" t="n"/>
      <c r="E191" s="44" t="n"/>
      <c r="F191" s="44" t="n"/>
      <c r="G191" s="44" t="n"/>
      <c r="H191" s="159" t="n"/>
    </row>
    <row r="192" ht="15.75" customHeight="1" s="150">
      <c r="B192" s="44" t="n"/>
      <c r="C192" s="44" t="n"/>
      <c r="D192" s="44" t="n"/>
      <c r="E192" s="44" t="n"/>
      <c r="F192" s="44" t="n"/>
      <c r="G192" s="44" t="n"/>
      <c r="H192" s="159" t="n"/>
    </row>
    <row r="193" ht="15.75" customHeight="1" s="150">
      <c r="B193" s="44" t="n"/>
      <c r="C193" s="44" t="n"/>
      <c r="D193" s="44" t="n"/>
      <c r="E193" s="44" t="n"/>
      <c r="F193" s="44" t="n"/>
      <c r="G193" s="44" t="n"/>
      <c r="H193" s="159" t="n"/>
    </row>
    <row r="194" ht="15.75" customHeight="1" s="150">
      <c r="B194" s="44" t="n"/>
      <c r="C194" s="44" t="n"/>
      <c r="D194" s="44" t="n"/>
      <c r="E194" s="44" t="n"/>
      <c r="F194" s="44" t="n"/>
      <c r="G194" s="44" t="n"/>
      <c r="H194" s="159" t="n"/>
    </row>
    <row r="195" ht="15.75" customHeight="1" s="150">
      <c r="B195" s="44" t="n"/>
      <c r="C195" s="44" t="n"/>
      <c r="D195" s="44" t="n"/>
      <c r="E195" s="44" t="n"/>
      <c r="F195" s="44" t="n"/>
      <c r="G195" s="44" t="n"/>
      <c r="H195" s="159" t="n"/>
    </row>
    <row r="196" ht="15.75" customHeight="1" s="150">
      <c r="B196" s="44" t="n"/>
      <c r="C196" s="44" t="n"/>
      <c r="D196" s="44" t="n"/>
      <c r="E196" s="44" t="n"/>
      <c r="F196" s="44" t="n"/>
      <c r="G196" s="44" t="n"/>
      <c r="H196" s="159" t="n"/>
    </row>
    <row r="197" ht="15.75" customHeight="1" s="150">
      <c r="B197" s="44" t="n"/>
      <c r="C197" s="44" t="n"/>
      <c r="D197" s="44" t="n"/>
      <c r="E197" s="44" t="n"/>
      <c r="F197" s="44" t="n"/>
      <c r="G197" s="44" t="n"/>
      <c r="H197" s="159" t="n"/>
    </row>
    <row r="198" ht="15.75" customHeight="1" s="150">
      <c r="B198" s="44" t="n"/>
      <c r="C198" s="44" t="n"/>
      <c r="D198" s="44" t="n"/>
      <c r="E198" s="44" t="n"/>
      <c r="F198" s="44" t="n"/>
      <c r="G198" s="44" t="n"/>
      <c r="H198" s="159" t="n"/>
    </row>
    <row r="199" ht="15.75" customHeight="1" s="150">
      <c r="B199" s="44" t="n"/>
      <c r="C199" s="44" t="n"/>
      <c r="D199" s="44" t="n"/>
      <c r="E199" s="44" t="n"/>
      <c r="F199" s="44" t="n"/>
      <c r="G199" s="44" t="n"/>
      <c r="H199" s="159" t="n"/>
    </row>
    <row r="200" ht="15.75" customHeight="1" s="150">
      <c r="B200" s="44" t="n"/>
      <c r="C200" s="44" t="n"/>
      <c r="D200" s="44" t="n"/>
      <c r="E200" s="44" t="n"/>
      <c r="F200" s="44" t="n"/>
      <c r="G200" s="44" t="n"/>
      <c r="H200" s="159" t="n"/>
    </row>
    <row r="201" ht="15.75" customHeight="1" s="150">
      <c r="B201" s="44" t="n"/>
      <c r="C201" s="44" t="n"/>
      <c r="D201" s="44" t="n"/>
      <c r="E201" s="44" t="n"/>
      <c r="F201" s="44" t="n"/>
      <c r="G201" s="44" t="n"/>
      <c r="H201" s="159" t="n"/>
    </row>
    <row r="202" ht="15.75" customHeight="1" s="150">
      <c r="B202" s="44" t="n"/>
      <c r="C202" s="44" t="n"/>
      <c r="D202" s="44" t="n"/>
      <c r="E202" s="44" t="n"/>
      <c r="F202" s="44" t="n"/>
      <c r="G202" s="44" t="n"/>
      <c r="H202" s="159" t="n"/>
    </row>
    <row r="203" ht="15.75" customHeight="1" s="150">
      <c r="B203" s="44" t="n"/>
      <c r="C203" s="44" t="n"/>
      <c r="D203" s="44" t="n"/>
      <c r="E203" s="44" t="n"/>
      <c r="F203" s="44" t="n"/>
      <c r="G203" s="44" t="n"/>
      <c r="H203" s="159" t="n"/>
    </row>
    <row r="204" ht="15.75" customHeight="1" s="150">
      <c r="B204" s="44" t="n"/>
      <c r="C204" s="44" t="n"/>
      <c r="D204" s="44" t="n"/>
      <c r="E204" s="44" t="n"/>
      <c r="F204" s="44" t="n"/>
      <c r="G204" s="44" t="n"/>
      <c r="H204" s="159" t="n"/>
    </row>
    <row r="205" ht="15.75" customHeight="1" s="150">
      <c r="B205" s="44" t="n"/>
      <c r="C205" s="44" t="n"/>
      <c r="D205" s="44" t="n"/>
      <c r="E205" s="44" t="n"/>
      <c r="F205" s="44" t="n"/>
      <c r="G205" s="44" t="n"/>
      <c r="H205" s="159" t="n"/>
    </row>
    <row r="206" ht="15.75" customHeight="1" s="150">
      <c r="B206" s="44" t="n"/>
      <c r="C206" s="44" t="n"/>
      <c r="D206" s="44" t="n"/>
      <c r="E206" s="44" t="n"/>
      <c r="F206" s="44" t="n"/>
      <c r="G206" s="44" t="n"/>
      <c r="H206" s="159" t="n"/>
    </row>
    <row r="207" ht="15.75" customHeight="1" s="150">
      <c r="B207" s="44" t="n"/>
      <c r="C207" s="44" t="n"/>
      <c r="D207" s="44" t="n"/>
      <c r="E207" s="44" t="n"/>
      <c r="F207" s="44" t="n"/>
      <c r="G207" s="44" t="n"/>
      <c r="H207" s="159" t="n"/>
    </row>
    <row r="208" ht="15.75" customHeight="1" s="150">
      <c r="B208" s="44" t="n"/>
      <c r="C208" s="44" t="n"/>
      <c r="D208" s="44" t="n"/>
      <c r="E208" s="44" t="n"/>
      <c r="F208" s="44" t="n"/>
      <c r="G208" s="44" t="n"/>
      <c r="H208" s="159" t="n"/>
    </row>
    <row r="209" ht="15.75" customHeight="1" s="150">
      <c r="B209" s="44" t="n"/>
      <c r="C209" s="44" t="n"/>
      <c r="D209" s="44" t="n"/>
      <c r="E209" s="44" t="n"/>
      <c r="F209" s="44" t="n"/>
      <c r="G209" s="44" t="n"/>
      <c r="H209" s="159" t="n"/>
    </row>
    <row r="210" ht="15.75" customHeight="1" s="150">
      <c r="B210" s="44" t="n"/>
      <c r="C210" s="44" t="n"/>
      <c r="D210" s="44" t="n"/>
      <c r="E210" s="44" t="n"/>
      <c r="F210" s="44" t="n"/>
      <c r="G210" s="44" t="n"/>
      <c r="H210" s="159" t="n"/>
    </row>
    <row r="211" ht="15.75" customHeight="1" s="150">
      <c r="B211" s="44" t="n"/>
      <c r="C211" s="44" t="n"/>
      <c r="D211" s="44" t="n"/>
      <c r="E211" s="44" t="n"/>
      <c r="F211" s="44" t="n"/>
      <c r="G211" s="44" t="n"/>
      <c r="H211" s="159" t="n"/>
    </row>
    <row r="212" ht="15.75" customHeight="1" s="150">
      <c r="B212" s="44" t="n"/>
      <c r="C212" s="44" t="n"/>
      <c r="D212" s="44" t="n"/>
      <c r="E212" s="44" t="n"/>
      <c r="F212" s="44" t="n"/>
      <c r="G212" s="44" t="n"/>
      <c r="H212" s="159" t="n"/>
    </row>
    <row r="213" ht="15.75" customHeight="1" s="150">
      <c r="B213" s="44" t="n"/>
      <c r="C213" s="44" t="n"/>
      <c r="D213" s="44" t="n"/>
      <c r="E213" s="44" t="n"/>
      <c r="F213" s="44" t="n"/>
      <c r="G213" s="44" t="n"/>
      <c r="H213" s="159" t="n"/>
    </row>
    <row r="214" ht="15.75" customHeight="1" s="150">
      <c r="B214" s="44" t="n"/>
      <c r="C214" s="44" t="n"/>
      <c r="D214" s="44" t="n"/>
      <c r="E214" s="44" t="n"/>
      <c r="F214" s="44" t="n"/>
      <c r="G214" s="44" t="n"/>
      <c r="H214" s="159" t="n"/>
    </row>
    <row r="215" ht="15.75" customHeight="1" s="150">
      <c r="B215" s="44" t="n"/>
      <c r="C215" s="44" t="n"/>
      <c r="D215" s="44" t="n"/>
      <c r="E215" s="44" t="n"/>
      <c r="F215" s="44" t="n"/>
      <c r="G215" s="44" t="n"/>
      <c r="H215" s="159" t="n"/>
    </row>
    <row r="216" ht="15.75" customHeight="1" s="150">
      <c r="B216" s="44" t="n"/>
      <c r="C216" s="44" t="n"/>
      <c r="D216" s="44" t="n"/>
      <c r="E216" s="44" t="n"/>
      <c r="F216" s="44" t="n"/>
      <c r="G216" s="44" t="n"/>
      <c r="H216" s="159" t="n"/>
    </row>
    <row r="217" ht="15.75" customHeight="1" s="150">
      <c r="B217" s="44" t="n"/>
      <c r="C217" s="44" t="n"/>
      <c r="D217" s="44" t="n"/>
      <c r="E217" s="44" t="n"/>
      <c r="F217" s="44" t="n"/>
      <c r="G217" s="44" t="n"/>
      <c r="H217" s="159" t="n"/>
    </row>
    <row r="218" ht="15.75" customHeight="1" s="150">
      <c r="B218" s="44" t="n"/>
      <c r="C218" s="44" t="n"/>
      <c r="D218" s="44" t="n"/>
      <c r="E218" s="44" t="n"/>
      <c r="F218" s="44" t="n"/>
      <c r="G218" s="44" t="n"/>
      <c r="H218" s="159" t="n"/>
    </row>
    <row r="219" ht="15.75" customHeight="1" s="150">
      <c r="B219" s="44" t="n"/>
      <c r="C219" s="44" t="n"/>
      <c r="D219" s="44" t="n"/>
      <c r="E219" s="44" t="n"/>
      <c r="F219" s="44" t="n"/>
      <c r="G219" s="44" t="n"/>
      <c r="H219" s="159" t="n"/>
    </row>
    <row r="220" ht="15.75" customHeight="1" s="150">
      <c r="B220" s="44" t="n"/>
      <c r="C220" s="44" t="n"/>
      <c r="D220" s="44" t="n"/>
      <c r="E220" s="44" t="n"/>
      <c r="F220" s="44" t="n"/>
      <c r="G220" s="44" t="n"/>
      <c r="H220" s="159" t="n"/>
    </row>
    <row r="221" ht="15.75" customHeight="1" s="150">
      <c r="B221" s="44" t="n"/>
      <c r="C221" s="44" t="n"/>
      <c r="D221" s="44" t="n"/>
      <c r="E221" s="44" t="n"/>
      <c r="F221" s="44" t="n"/>
      <c r="G221" s="44" t="n"/>
      <c r="H221" s="159" t="n"/>
    </row>
    <row r="222" ht="15.75" customHeight="1" s="150">
      <c r="B222" s="44" t="n"/>
      <c r="C222" s="44" t="n"/>
      <c r="D222" s="44" t="n"/>
      <c r="E222" s="44" t="n"/>
      <c r="F222" s="44" t="n"/>
      <c r="G222" s="44" t="n"/>
      <c r="H222" s="159" t="n"/>
    </row>
    <row r="223" ht="15.75" customHeight="1" s="150">
      <c r="B223" s="44" t="n"/>
      <c r="C223" s="44" t="n"/>
      <c r="D223" s="44" t="n"/>
      <c r="E223" s="44" t="n"/>
      <c r="F223" s="44" t="n"/>
      <c r="G223" s="44" t="n"/>
      <c r="H223" s="159" t="n"/>
    </row>
    <row r="224" ht="15.75" customHeight="1" s="150">
      <c r="B224" s="44" t="n"/>
      <c r="C224" s="44" t="n"/>
      <c r="D224" s="44" t="n"/>
      <c r="E224" s="44" t="n"/>
      <c r="F224" s="44" t="n"/>
      <c r="G224" s="44" t="n"/>
      <c r="H224" s="159" t="n"/>
    </row>
    <row r="225" ht="15.75" customHeight="1" s="150"/>
    <row r="226" ht="15.75" customHeight="1" s="150"/>
    <row r="227" ht="15.75" customHeight="1" s="150"/>
    <row r="228" ht="15.75" customHeight="1" s="150"/>
    <row r="229" ht="15.75" customHeight="1" s="150"/>
    <row r="230" ht="15.75" customHeight="1" s="150"/>
    <row r="231" ht="15.75" customHeight="1" s="150"/>
    <row r="232" ht="15.75" customHeight="1" s="150"/>
    <row r="233" ht="15.75" customHeight="1" s="150"/>
    <row r="234" ht="15.75" customHeight="1" s="150"/>
    <row r="235" ht="15.75" customHeight="1" s="150"/>
    <row r="236" ht="15.75" customHeight="1" s="150"/>
    <row r="237" ht="15.75" customHeight="1" s="150"/>
    <row r="238" ht="15.75" customHeight="1" s="150"/>
    <row r="239" ht="15.75" customHeight="1" s="150"/>
    <row r="240" ht="15.75" customHeight="1" s="150"/>
    <row r="241" ht="15.75" customHeight="1" s="150"/>
    <row r="242" ht="15.75" customHeight="1" s="150"/>
    <row r="243" ht="15.75" customHeight="1" s="150"/>
    <row r="244" ht="15.75" customHeight="1" s="150"/>
    <row r="245" ht="15.75" customHeight="1" s="150"/>
    <row r="246" ht="15.75" customHeight="1" s="150"/>
    <row r="247" ht="15.75" customHeight="1" s="150"/>
    <row r="248" ht="15.75" customHeight="1" s="150"/>
    <row r="249" ht="15.75" customHeight="1" s="150"/>
    <row r="250" ht="15.75" customHeight="1" s="150"/>
    <row r="251" ht="15.75" customHeight="1" s="150"/>
    <row r="252" ht="15.75" customHeight="1" s="150"/>
    <row r="253" ht="15.75" customHeight="1" s="150"/>
    <row r="254" ht="15.75" customHeight="1" s="150"/>
    <row r="255" ht="15.75" customHeight="1" s="150"/>
    <row r="256" ht="15.75" customHeight="1" s="150"/>
    <row r="257" ht="15.75" customHeight="1" s="150"/>
    <row r="258" ht="15.75" customHeight="1" s="150"/>
    <row r="259" ht="15.75" customHeight="1" s="150"/>
    <row r="260" ht="15.75" customHeight="1" s="150"/>
    <row r="261" ht="15.75" customHeight="1" s="150"/>
    <row r="262" ht="15.75" customHeight="1" s="150"/>
    <row r="263" ht="15.75" customHeight="1" s="150"/>
    <row r="264" ht="15.75" customHeight="1" s="150"/>
    <row r="265" ht="15.75" customHeight="1" s="150"/>
    <row r="266" ht="15.75" customHeight="1" s="150"/>
    <row r="267" ht="15.75" customHeight="1" s="150"/>
    <row r="268" ht="15.75" customHeight="1" s="150"/>
    <row r="269" ht="15.75" customHeight="1" s="150"/>
    <row r="270" ht="15.75" customHeight="1" s="150"/>
    <row r="271" ht="15.75" customHeight="1" s="150"/>
    <row r="272" ht="15.75" customHeight="1" s="150"/>
    <row r="273" ht="15.75" customHeight="1" s="150"/>
    <row r="274" ht="15.75" customHeight="1" s="150"/>
    <row r="275" ht="15.75" customHeight="1" s="150"/>
    <row r="276" ht="15.75" customHeight="1" s="150"/>
    <row r="277" ht="15.75" customHeight="1" s="150"/>
    <row r="278" ht="15.75" customHeight="1" s="150"/>
    <row r="279" ht="15.75" customHeight="1" s="150"/>
    <row r="280" ht="15.75" customHeight="1" s="150"/>
    <row r="281" ht="15.75" customHeight="1" s="150"/>
    <row r="282" ht="15.75" customHeight="1" s="150"/>
    <row r="283" ht="15.75" customHeight="1" s="150"/>
    <row r="284" ht="15.75" customHeight="1" s="150"/>
    <row r="285" ht="15.75" customHeight="1" s="150"/>
    <row r="286" ht="15.75" customHeight="1" s="150"/>
    <row r="287" ht="15.75" customHeight="1" s="150"/>
    <row r="288" ht="15.75" customHeight="1" s="150"/>
    <row r="289" ht="15.75" customHeight="1" s="150"/>
    <row r="290" ht="15.75" customHeight="1" s="150"/>
    <row r="291" ht="15.75" customHeight="1" s="150"/>
    <row r="292" ht="15.75" customHeight="1" s="150"/>
    <row r="293" ht="15.75" customHeight="1" s="150"/>
    <row r="294" ht="15.75" customHeight="1" s="150"/>
    <row r="295" ht="15.75" customHeight="1" s="150"/>
    <row r="296" ht="15.75" customHeight="1" s="150"/>
    <row r="297" ht="15.75" customHeight="1" s="150"/>
    <row r="298" ht="15.75" customHeight="1" s="150"/>
    <row r="299" ht="15.75" customHeight="1" s="150"/>
    <row r="300" ht="15.75" customHeight="1" s="150"/>
    <row r="301" ht="15.75" customHeight="1" s="150"/>
    <row r="302" ht="15.75" customHeight="1" s="150"/>
    <row r="303" ht="15.75" customHeight="1" s="150"/>
    <row r="304" ht="15.75" customHeight="1" s="150"/>
    <row r="305" ht="15.75" customHeight="1" s="150"/>
    <row r="306" ht="15.75" customHeight="1" s="150"/>
    <row r="307" ht="15.75" customHeight="1" s="150"/>
    <row r="308" ht="15.75" customHeight="1" s="150"/>
    <row r="309" ht="15.75" customHeight="1" s="150"/>
    <row r="310" ht="15.75" customHeight="1" s="150"/>
    <row r="311" ht="15.75" customHeight="1" s="150"/>
    <row r="312" ht="15.75" customHeight="1" s="150"/>
    <row r="313" ht="15.75" customHeight="1" s="150"/>
    <row r="314" ht="15.75" customHeight="1" s="150"/>
    <row r="315" ht="15.75" customHeight="1" s="150"/>
    <row r="316" ht="15.75" customHeight="1" s="150"/>
    <row r="317" ht="15.75" customHeight="1" s="150"/>
    <row r="318" ht="15.75" customHeight="1" s="150"/>
    <row r="319" ht="15.75" customHeight="1" s="150"/>
    <row r="320" ht="15.75" customHeight="1" s="150"/>
    <row r="321" ht="15.75" customHeight="1" s="150"/>
    <row r="322" ht="15.75" customHeight="1" s="150"/>
    <row r="323" ht="15.75" customHeight="1" s="150"/>
    <row r="324" ht="15.75" customHeight="1" s="150"/>
    <row r="325" ht="15.75" customHeight="1" s="150"/>
    <row r="326" ht="15.75" customHeight="1" s="150"/>
    <row r="327" ht="15.75" customHeight="1" s="150"/>
    <row r="328" ht="15.75" customHeight="1" s="150"/>
    <row r="329" ht="15.75" customHeight="1" s="150"/>
    <row r="330" ht="15.75" customHeight="1" s="150"/>
    <row r="331" ht="15.75" customHeight="1" s="150"/>
    <row r="332" ht="15.75" customHeight="1" s="150"/>
    <row r="333" ht="15.75" customHeight="1" s="150"/>
    <row r="334" ht="15.75" customHeight="1" s="150"/>
    <row r="335" ht="15.75" customHeight="1" s="150"/>
    <row r="336" ht="15.75" customHeight="1" s="150"/>
    <row r="337" ht="15.75" customHeight="1" s="150"/>
    <row r="338" ht="15.75" customHeight="1" s="150"/>
    <row r="339" ht="15.75" customHeight="1" s="150"/>
    <row r="340" ht="15.75" customHeight="1" s="150"/>
    <row r="341" ht="15.75" customHeight="1" s="150"/>
    <row r="342" ht="15.75" customHeight="1" s="150"/>
    <row r="343" ht="15.75" customHeight="1" s="150"/>
    <row r="344" ht="15.75" customHeight="1" s="150"/>
    <row r="345" ht="15.75" customHeight="1" s="150"/>
    <row r="346" ht="15.75" customHeight="1" s="150"/>
    <row r="347" ht="15.75" customHeight="1" s="150"/>
    <row r="348" ht="15.75" customHeight="1" s="150"/>
    <row r="349" ht="15.75" customHeight="1" s="150"/>
    <row r="350" ht="15.75" customHeight="1" s="150"/>
    <row r="351" ht="15.75" customHeight="1" s="150"/>
    <row r="352" ht="15.75" customHeight="1" s="150"/>
    <row r="353" ht="15.75" customHeight="1" s="150"/>
    <row r="354" ht="15.75" customHeight="1" s="150"/>
    <row r="355" ht="15.75" customHeight="1" s="150"/>
    <row r="356" ht="15.75" customHeight="1" s="150"/>
    <row r="357" ht="15.75" customHeight="1" s="150"/>
    <row r="358" ht="15.75" customHeight="1" s="150"/>
    <row r="359" ht="15.75" customHeight="1" s="150"/>
    <row r="360" ht="15.75" customHeight="1" s="150"/>
    <row r="361" ht="15.75" customHeight="1" s="150"/>
    <row r="362" ht="15.75" customHeight="1" s="150"/>
    <row r="363" ht="15.75" customHeight="1" s="150"/>
    <row r="364" ht="15.75" customHeight="1" s="150"/>
    <row r="365" ht="15.75" customHeight="1" s="150"/>
    <row r="366" ht="15.75" customHeight="1" s="150"/>
    <row r="367" ht="15.75" customHeight="1" s="150"/>
    <row r="368" ht="15.75" customHeight="1" s="150"/>
    <row r="369" ht="15.75" customHeight="1" s="150"/>
    <row r="370" ht="15.75" customHeight="1" s="150"/>
    <row r="371" ht="15.75" customHeight="1" s="150"/>
    <row r="372" ht="15.75" customHeight="1" s="150"/>
    <row r="373" ht="15.75" customHeight="1" s="150"/>
    <row r="374" ht="15.75" customHeight="1" s="150"/>
    <row r="375" ht="15.75" customHeight="1" s="150"/>
    <row r="376" ht="15.75" customHeight="1" s="150"/>
    <row r="377" ht="15.75" customHeight="1" s="150"/>
    <row r="378" ht="15.75" customHeight="1" s="150"/>
    <row r="379" ht="15.75" customHeight="1" s="150"/>
    <row r="380" ht="15.75" customHeight="1" s="150"/>
    <row r="381" ht="15.75" customHeight="1" s="150"/>
    <row r="382" ht="15.75" customHeight="1" s="150"/>
    <row r="383" ht="15.75" customHeight="1" s="150"/>
    <row r="384" ht="15.75" customHeight="1" s="150"/>
    <row r="385" ht="15.75" customHeight="1" s="150"/>
    <row r="386" ht="15.75" customHeight="1" s="150"/>
    <row r="387" ht="15.75" customHeight="1" s="150"/>
    <row r="388" ht="15.75" customHeight="1" s="150"/>
    <row r="389" ht="15.75" customHeight="1" s="150"/>
    <row r="390" ht="15.75" customHeight="1" s="150"/>
    <row r="391" ht="15.75" customHeight="1" s="150"/>
    <row r="392" ht="15.75" customHeight="1" s="150"/>
    <row r="393" ht="15.75" customHeight="1" s="150"/>
    <row r="394" ht="15.75" customHeight="1" s="150"/>
    <row r="395" ht="15.75" customHeight="1" s="150"/>
    <row r="396" ht="15.75" customHeight="1" s="150"/>
    <row r="397" ht="15.75" customHeight="1" s="150"/>
    <row r="398" ht="15.75" customHeight="1" s="150"/>
    <row r="399" ht="15.75" customHeight="1" s="150"/>
    <row r="400" ht="15.75" customHeight="1" s="150"/>
    <row r="401" ht="15.75" customHeight="1" s="150"/>
    <row r="402" ht="15.75" customHeight="1" s="150"/>
    <row r="403" ht="15.75" customHeight="1" s="150"/>
    <row r="404" ht="15.75" customHeight="1" s="150"/>
    <row r="405" ht="15.75" customHeight="1" s="150"/>
    <row r="406" ht="15.75" customHeight="1" s="150"/>
    <row r="407" ht="15.75" customHeight="1" s="150"/>
    <row r="408" ht="15.75" customHeight="1" s="150"/>
    <row r="409" ht="15.75" customHeight="1" s="150"/>
    <row r="410" ht="15.75" customHeight="1" s="150"/>
    <row r="411" ht="15.75" customHeight="1" s="150"/>
    <row r="412" ht="15.75" customHeight="1" s="150"/>
    <row r="413" ht="15.75" customHeight="1" s="150"/>
    <row r="414" ht="15.75" customHeight="1" s="150"/>
    <row r="415" ht="15.75" customHeight="1" s="150"/>
    <row r="416" ht="15.75" customHeight="1" s="150"/>
    <row r="417" ht="15.75" customHeight="1" s="150"/>
    <row r="418" ht="15.75" customHeight="1" s="150"/>
    <row r="419" ht="15.75" customHeight="1" s="150"/>
    <row r="420" ht="15.75" customHeight="1" s="150"/>
    <row r="421" ht="15.75" customHeight="1" s="150"/>
    <row r="422" ht="15.75" customHeight="1" s="150"/>
    <row r="423" ht="15.75" customHeight="1" s="150"/>
    <row r="424" ht="15.75" customHeight="1" s="150"/>
    <row r="425" ht="15.75" customHeight="1" s="150"/>
    <row r="426" ht="15.75" customHeight="1" s="150"/>
    <row r="427" ht="15.75" customHeight="1" s="150"/>
    <row r="428" ht="15.75" customHeight="1" s="150"/>
    <row r="429" ht="15.75" customHeight="1" s="150"/>
    <row r="430" ht="15.75" customHeight="1" s="150"/>
    <row r="431" ht="15.75" customHeight="1" s="150"/>
    <row r="432" ht="15.75" customHeight="1" s="150"/>
    <row r="433" ht="15.75" customHeight="1" s="150"/>
    <row r="434" ht="15.75" customHeight="1" s="150"/>
    <row r="435" ht="15.75" customHeight="1" s="150"/>
    <row r="436" ht="15.75" customHeight="1" s="150"/>
    <row r="437" ht="15.75" customHeight="1" s="150"/>
    <row r="438" ht="15.75" customHeight="1" s="150"/>
    <row r="439" ht="15.75" customHeight="1" s="150"/>
    <row r="440" ht="15.75" customHeight="1" s="150"/>
    <row r="441" ht="15.75" customHeight="1" s="150"/>
    <row r="442" ht="15.75" customHeight="1" s="150"/>
    <row r="443" ht="15.75" customHeight="1" s="150"/>
    <row r="444" ht="15.75" customHeight="1" s="150"/>
    <row r="445" ht="15.75" customHeight="1" s="150"/>
    <row r="446" ht="15.75" customHeight="1" s="150"/>
    <row r="447" ht="15.75" customHeight="1" s="150"/>
    <row r="448" ht="15.75" customHeight="1" s="150"/>
    <row r="449" ht="15.75" customHeight="1" s="150"/>
    <row r="450" ht="15.75" customHeight="1" s="150"/>
    <row r="451" ht="15.75" customHeight="1" s="150"/>
    <row r="452" ht="15.75" customHeight="1" s="150"/>
    <row r="453" ht="15.75" customHeight="1" s="150"/>
    <row r="454" ht="15.75" customHeight="1" s="150"/>
    <row r="455" ht="15.75" customHeight="1" s="150"/>
    <row r="456" ht="15.75" customHeight="1" s="150"/>
    <row r="457" ht="15.75" customHeight="1" s="150"/>
    <row r="458" ht="15.75" customHeight="1" s="150"/>
    <row r="459" ht="15.75" customHeight="1" s="150"/>
    <row r="460" ht="15.75" customHeight="1" s="150"/>
    <row r="461" ht="15.75" customHeight="1" s="150"/>
    <row r="462" ht="15.75" customHeight="1" s="150"/>
    <row r="463" ht="15.75" customHeight="1" s="150"/>
    <row r="464" ht="15.75" customHeight="1" s="150"/>
    <row r="465" ht="15.75" customHeight="1" s="150"/>
    <row r="466" ht="15.75" customHeight="1" s="150"/>
    <row r="467" ht="15.75" customHeight="1" s="150"/>
    <row r="468" ht="15.75" customHeight="1" s="150"/>
    <row r="469" ht="15.75" customHeight="1" s="150"/>
    <row r="470" ht="15.75" customHeight="1" s="150"/>
    <row r="471" ht="15.75" customHeight="1" s="150"/>
    <row r="472" ht="15.75" customHeight="1" s="150"/>
    <row r="473" ht="15.75" customHeight="1" s="150"/>
    <row r="474" ht="15.75" customHeight="1" s="150"/>
    <row r="475" ht="15.75" customHeight="1" s="150"/>
    <row r="476" ht="15.75" customHeight="1" s="150"/>
    <row r="477" ht="15.75" customHeight="1" s="150"/>
    <row r="478" ht="15.75" customHeight="1" s="150"/>
    <row r="479" ht="15.75" customHeight="1" s="150"/>
    <row r="480" ht="15.75" customHeight="1" s="150"/>
    <row r="481" ht="15.75" customHeight="1" s="150"/>
    <row r="482" ht="15.75" customHeight="1" s="150"/>
    <row r="483" ht="15.75" customHeight="1" s="150"/>
    <row r="484" ht="15.75" customHeight="1" s="150"/>
    <row r="485" ht="15.75" customHeight="1" s="150"/>
    <row r="486" ht="15.75" customHeight="1" s="150"/>
    <row r="487" ht="15.75" customHeight="1" s="150"/>
    <row r="488" ht="15.75" customHeight="1" s="150"/>
    <row r="489" ht="15.75" customHeight="1" s="150"/>
    <row r="490" ht="15.75" customHeight="1" s="150"/>
    <row r="491" ht="15.75" customHeight="1" s="150"/>
    <row r="492" ht="15.75" customHeight="1" s="150"/>
    <row r="493" ht="15.75" customHeight="1" s="150"/>
    <row r="494" ht="15.75" customHeight="1" s="150"/>
    <row r="495" ht="15.75" customHeight="1" s="150"/>
    <row r="496" ht="15.75" customHeight="1" s="150"/>
    <row r="497" ht="15.75" customHeight="1" s="150"/>
    <row r="498" ht="15.75" customHeight="1" s="150"/>
    <row r="499" ht="15.75" customHeight="1" s="150"/>
    <row r="500" ht="15.75" customHeight="1" s="150"/>
    <row r="501" ht="15.75" customHeight="1" s="150"/>
    <row r="502" ht="15.75" customHeight="1" s="150"/>
    <row r="503" ht="15.75" customHeight="1" s="150"/>
    <row r="504" ht="15.75" customHeight="1" s="150"/>
    <row r="505" ht="15.75" customHeight="1" s="150"/>
    <row r="506" ht="15.75" customHeight="1" s="150"/>
    <row r="507" ht="15.75" customHeight="1" s="150"/>
    <row r="508" ht="15.75" customHeight="1" s="150"/>
    <row r="509" ht="15.75" customHeight="1" s="150"/>
    <row r="510" ht="15.75" customHeight="1" s="150"/>
    <row r="511" ht="15.75" customHeight="1" s="150"/>
    <row r="512" ht="15.75" customHeight="1" s="150"/>
    <row r="513" ht="15.75" customHeight="1" s="150"/>
    <row r="514" ht="15.75" customHeight="1" s="150"/>
    <row r="515" ht="15.75" customHeight="1" s="150"/>
    <row r="516" ht="15.75" customHeight="1" s="150"/>
    <row r="517" ht="15.75" customHeight="1" s="150"/>
    <row r="518" ht="15.75" customHeight="1" s="150"/>
    <row r="519" ht="15.75" customHeight="1" s="150"/>
    <row r="520" ht="15.75" customHeight="1" s="150"/>
    <row r="521" ht="15.75" customHeight="1" s="150"/>
    <row r="522" ht="15.75" customHeight="1" s="150"/>
    <row r="523" ht="15.75" customHeight="1" s="150"/>
    <row r="524" ht="15.75" customHeight="1" s="150"/>
    <row r="525" ht="15.75" customHeight="1" s="150"/>
    <row r="526" ht="15.75" customHeight="1" s="150"/>
    <row r="527" ht="15.75" customHeight="1" s="150"/>
    <row r="528" ht="15.75" customHeight="1" s="150"/>
    <row r="529" ht="15.75" customHeight="1" s="150"/>
    <row r="530" ht="15.75" customHeight="1" s="150"/>
    <row r="531" ht="15.75" customHeight="1" s="150"/>
    <row r="532" ht="15.75" customHeight="1" s="150"/>
    <row r="533" ht="15.75" customHeight="1" s="150"/>
    <row r="534" ht="15.75" customHeight="1" s="150"/>
    <row r="535" ht="15.75" customHeight="1" s="150"/>
    <row r="536" ht="15.75" customHeight="1" s="150"/>
    <row r="537" ht="15.75" customHeight="1" s="150"/>
    <row r="538" ht="15.75" customHeight="1" s="150"/>
    <row r="539" ht="15.75" customHeight="1" s="150"/>
    <row r="540" ht="15.75" customHeight="1" s="150"/>
    <row r="541" ht="15.75" customHeight="1" s="150"/>
    <row r="542" ht="15.75" customHeight="1" s="150"/>
    <row r="543" ht="15.75" customHeight="1" s="150"/>
    <row r="544" ht="15.75" customHeight="1" s="150"/>
    <row r="545" ht="15.75" customHeight="1" s="150"/>
    <row r="546" ht="15.75" customHeight="1" s="150"/>
    <row r="547" ht="15.75" customHeight="1" s="150"/>
    <row r="548" ht="15.75" customHeight="1" s="150"/>
    <row r="549" ht="15.75" customHeight="1" s="150"/>
    <row r="550" ht="15.75" customHeight="1" s="150"/>
    <row r="551" ht="15.75" customHeight="1" s="150"/>
    <row r="552" ht="15.75" customHeight="1" s="150"/>
    <row r="553" ht="15.75" customHeight="1" s="150"/>
    <row r="554" ht="15.75" customHeight="1" s="150"/>
    <row r="555" ht="15.75" customHeight="1" s="150"/>
    <row r="556" ht="15.75" customHeight="1" s="150"/>
    <row r="557" ht="15.75" customHeight="1" s="150"/>
    <row r="558" ht="15.75" customHeight="1" s="150"/>
    <row r="559" ht="15.75" customHeight="1" s="150"/>
    <row r="560" ht="15.75" customHeight="1" s="150"/>
    <row r="561" ht="15.75" customHeight="1" s="150"/>
    <row r="562" ht="15.75" customHeight="1" s="150"/>
    <row r="563" ht="15.75" customHeight="1" s="150"/>
    <row r="564" ht="15.75" customHeight="1" s="150"/>
    <row r="565" ht="15.75" customHeight="1" s="150"/>
    <row r="566" ht="15.75" customHeight="1" s="150"/>
    <row r="567" ht="15.75" customHeight="1" s="150"/>
    <row r="568" ht="15.75" customHeight="1" s="150"/>
    <row r="569" ht="15.75" customHeight="1" s="150"/>
    <row r="570" ht="15.75" customHeight="1" s="150"/>
    <row r="571" ht="15.75" customHeight="1" s="150"/>
    <row r="572" ht="15.75" customHeight="1" s="150"/>
    <row r="573" ht="15.75" customHeight="1" s="150"/>
    <row r="574" ht="15.75" customHeight="1" s="150"/>
    <row r="575" ht="15.75" customHeight="1" s="150"/>
    <row r="576" ht="15.75" customHeight="1" s="150"/>
    <row r="577" ht="15.75" customHeight="1" s="150"/>
    <row r="578" ht="15.75" customHeight="1" s="150"/>
    <row r="579" ht="15.75" customHeight="1" s="150"/>
    <row r="580" ht="15.75" customHeight="1" s="150"/>
    <row r="581" ht="15.75" customHeight="1" s="150"/>
    <row r="582" ht="15.75" customHeight="1" s="150"/>
    <row r="583" ht="15.75" customHeight="1" s="150"/>
    <row r="584" ht="15.75" customHeight="1" s="150"/>
    <row r="585" ht="15.75" customHeight="1" s="150"/>
    <row r="586" ht="15.75" customHeight="1" s="150"/>
    <row r="587" ht="15.75" customHeight="1" s="150"/>
    <row r="588" ht="15.75" customHeight="1" s="150"/>
    <row r="589" ht="15.75" customHeight="1" s="150"/>
    <row r="590" ht="15.75" customHeight="1" s="150"/>
    <row r="591" ht="15.75" customHeight="1" s="150"/>
    <row r="592" ht="15.75" customHeight="1" s="150"/>
    <row r="593" ht="15.75" customHeight="1" s="150"/>
    <row r="594" ht="15.75" customHeight="1" s="150"/>
    <row r="595" ht="15.75" customHeight="1" s="150"/>
    <row r="596" ht="15.75" customHeight="1" s="150"/>
    <row r="597" ht="15.75" customHeight="1" s="150"/>
    <row r="598" ht="15.75" customHeight="1" s="150"/>
    <row r="599" ht="15.75" customHeight="1" s="150"/>
    <row r="600" ht="15.75" customHeight="1" s="150"/>
    <row r="601" ht="15.75" customHeight="1" s="150"/>
    <row r="602" ht="15.75" customHeight="1" s="150"/>
    <row r="603" ht="15.75" customHeight="1" s="150"/>
    <row r="604" ht="15.75" customHeight="1" s="150"/>
    <row r="605" ht="15.75" customHeight="1" s="150"/>
    <row r="606" ht="15.75" customHeight="1" s="150"/>
    <row r="607" ht="15.75" customHeight="1" s="150"/>
    <row r="608" ht="15.75" customHeight="1" s="150"/>
    <row r="609" ht="15.75" customHeight="1" s="150"/>
    <row r="610" ht="15.75" customHeight="1" s="150"/>
    <row r="611" ht="15.75" customHeight="1" s="150"/>
    <row r="612" ht="15.75" customHeight="1" s="150"/>
    <row r="613" ht="15.75" customHeight="1" s="150"/>
    <row r="614" ht="15.75" customHeight="1" s="150"/>
    <row r="615" ht="15.75" customHeight="1" s="150"/>
    <row r="616" ht="15.75" customHeight="1" s="150"/>
    <row r="617" ht="15.75" customHeight="1" s="150"/>
    <row r="618" ht="15.75" customHeight="1" s="150"/>
    <row r="619" ht="15.75" customHeight="1" s="150"/>
    <row r="620" ht="15.75" customHeight="1" s="150"/>
    <row r="621" ht="15.75" customHeight="1" s="150"/>
    <row r="622" ht="15.75" customHeight="1" s="150"/>
    <row r="623" ht="15.75" customHeight="1" s="150"/>
    <row r="624" ht="15.75" customHeight="1" s="150"/>
    <row r="625" ht="15.75" customHeight="1" s="150"/>
    <row r="626" ht="15.75" customHeight="1" s="150"/>
    <row r="627" ht="15.75" customHeight="1" s="150"/>
    <row r="628" ht="15.75" customHeight="1" s="150"/>
    <row r="629" ht="15.75" customHeight="1" s="150"/>
    <row r="630" ht="15.75" customHeight="1" s="150"/>
    <row r="631" ht="15.75" customHeight="1" s="150"/>
    <row r="632" ht="15.75" customHeight="1" s="150"/>
    <row r="633" ht="15.75" customHeight="1" s="150"/>
    <row r="634" ht="15.75" customHeight="1" s="150"/>
    <row r="635" ht="15.75" customHeight="1" s="150"/>
    <row r="636" ht="15.75" customHeight="1" s="150"/>
    <row r="637" ht="15.75" customHeight="1" s="150"/>
    <row r="638" ht="15.75" customHeight="1" s="150"/>
    <row r="639" ht="15.75" customHeight="1" s="150"/>
    <row r="640" ht="15.75" customHeight="1" s="150"/>
    <row r="641" ht="15.75" customHeight="1" s="150"/>
    <row r="642" ht="15.75" customHeight="1" s="150"/>
    <row r="643" ht="15.75" customHeight="1" s="150"/>
    <row r="644" ht="15.75" customHeight="1" s="150"/>
    <row r="645" ht="15.75" customHeight="1" s="150"/>
    <row r="646" ht="15.75" customHeight="1" s="150"/>
    <row r="647" ht="15.75" customHeight="1" s="150"/>
    <row r="648" ht="15.75" customHeight="1" s="150"/>
    <row r="649" ht="15.75" customHeight="1" s="150"/>
    <row r="650" ht="15.75" customHeight="1" s="150"/>
    <row r="651" ht="15.75" customHeight="1" s="150"/>
    <row r="652" ht="15.75" customHeight="1" s="150"/>
    <row r="653" ht="15.75" customHeight="1" s="150"/>
    <row r="654" ht="15.75" customHeight="1" s="150"/>
    <row r="655" ht="15.75" customHeight="1" s="150"/>
    <row r="656" ht="15.75" customHeight="1" s="150"/>
    <row r="657" ht="15.75" customHeight="1" s="150"/>
    <row r="658" ht="15.75" customHeight="1" s="150"/>
    <row r="659" ht="15.75" customHeight="1" s="150"/>
    <row r="660" ht="15.75" customHeight="1" s="150"/>
    <row r="661" ht="15.75" customHeight="1" s="150"/>
    <row r="662" ht="15.75" customHeight="1" s="150"/>
    <row r="663" ht="15.75" customHeight="1" s="150"/>
    <row r="664" ht="15.75" customHeight="1" s="150"/>
    <row r="665" ht="15.75" customHeight="1" s="150"/>
    <row r="666" ht="15.75" customHeight="1" s="150"/>
    <row r="667" ht="15.75" customHeight="1" s="150"/>
    <row r="668" ht="15.75" customHeight="1" s="150"/>
    <row r="669" ht="15.75" customHeight="1" s="150"/>
    <row r="670" ht="15.75" customHeight="1" s="150"/>
    <row r="671" ht="15.75" customHeight="1" s="150"/>
    <row r="672" ht="15.75" customHeight="1" s="150"/>
    <row r="673" ht="15.75" customHeight="1" s="150"/>
    <row r="674" ht="15.75" customHeight="1" s="150"/>
    <row r="675" ht="15.75" customHeight="1" s="150"/>
    <row r="676" ht="15.75" customHeight="1" s="150"/>
    <row r="677" ht="15.75" customHeight="1" s="150"/>
    <row r="678" ht="15.75" customHeight="1" s="150"/>
    <row r="679" ht="15.75" customHeight="1" s="150"/>
    <row r="680" ht="15.75" customHeight="1" s="150"/>
    <row r="681" ht="15.75" customHeight="1" s="150"/>
    <row r="682" ht="15.75" customHeight="1" s="150"/>
    <row r="683" ht="15.75" customHeight="1" s="150"/>
    <row r="684" ht="15.75" customHeight="1" s="150"/>
    <row r="685" ht="15.75" customHeight="1" s="150"/>
    <row r="686" ht="15.75" customHeight="1" s="150"/>
    <row r="687" ht="15.75" customHeight="1" s="150"/>
    <row r="688" ht="15.75" customHeight="1" s="150"/>
    <row r="689" ht="15.75" customHeight="1" s="150"/>
    <row r="690" ht="15.75" customHeight="1" s="150"/>
    <row r="691" ht="15.75" customHeight="1" s="150"/>
    <row r="692" ht="15.75" customHeight="1" s="150"/>
    <row r="693" ht="15.75" customHeight="1" s="150"/>
    <row r="694" ht="15.75" customHeight="1" s="150"/>
    <row r="695" ht="15.75" customHeight="1" s="150"/>
    <row r="696" ht="15.75" customHeight="1" s="150"/>
    <row r="697" ht="15.75" customHeight="1" s="150"/>
    <row r="698" ht="15.75" customHeight="1" s="150"/>
    <row r="699" ht="15.75" customHeight="1" s="150"/>
    <row r="700" ht="15.75" customHeight="1" s="150"/>
    <row r="701" ht="15.75" customHeight="1" s="150"/>
    <row r="702" ht="15.75" customHeight="1" s="150"/>
    <row r="703" ht="15.75" customHeight="1" s="150"/>
    <row r="704" ht="15.75" customHeight="1" s="150"/>
    <row r="705" ht="15.75" customHeight="1" s="150"/>
    <row r="706" ht="15.75" customHeight="1" s="150"/>
    <row r="707" ht="15.75" customHeight="1" s="150"/>
    <row r="708" ht="15.75" customHeight="1" s="150"/>
    <row r="709" ht="15.75" customHeight="1" s="150"/>
    <row r="710" ht="15.75" customHeight="1" s="150"/>
    <row r="711" ht="15.75" customHeight="1" s="150"/>
    <row r="712" ht="15.75" customHeight="1" s="150"/>
    <row r="713" ht="15.75" customHeight="1" s="150"/>
    <row r="714" ht="15.75" customHeight="1" s="150"/>
    <row r="715" ht="15.75" customHeight="1" s="150"/>
    <row r="716" ht="15.75" customHeight="1" s="150"/>
    <row r="717" ht="15.75" customHeight="1" s="150"/>
    <row r="718" ht="15.75" customHeight="1" s="150"/>
    <row r="719" ht="15.75" customHeight="1" s="150"/>
    <row r="720" ht="15.75" customHeight="1" s="150"/>
    <row r="721" ht="15.75" customHeight="1" s="150"/>
    <row r="722" ht="15.75" customHeight="1" s="150"/>
    <row r="723" ht="15.75" customHeight="1" s="150"/>
    <row r="724" ht="15.75" customHeight="1" s="150"/>
    <row r="725" ht="15.75" customHeight="1" s="150"/>
    <row r="726" ht="15.75" customHeight="1" s="150"/>
    <row r="727" ht="15.75" customHeight="1" s="150"/>
    <row r="728" ht="15.75" customHeight="1" s="150"/>
    <row r="729" ht="15.75" customHeight="1" s="150"/>
    <row r="730" ht="15.75" customHeight="1" s="150"/>
    <row r="731" ht="15.75" customHeight="1" s="150"/>
    <row r="732" ht="15.75" customHeight="1" s="150"/>
    <row r="733" ht="15.75" customHeight="1" s="150"/>
    <row r="734" ht="15.75" customHeight="1" s="150"/>
    <row r="735" ht="15.75" customHeight="1" s="150"/>
    <row r="736" ht="15.75" customHeight="1" s="150"/>
    <row r="737" ht="15.75" customHeight="1" s="150"/>
    <row r="738" ht="15.75" customHeight="1" s="150"/>
    <row r="739" ht="15.75" customHeight="1" s="150"/>
    <row r="740" ht="15.75" customHeight="1" s="150"/>
    <row r="741" ht="15.75" customHeight="1" s="150"/>
    <row r="742" ht="15.75" customHeight="1" s="150"/>
    <row r="743" ht="15.75" customHeight="1" s="150"/>
    <row r="744" ht="15.75" customHeight="1" s="150"/>
    <row r="745" ht="15.75" customHeight="1" s="150"/>
    <row r="746" ht="15.75" customHeight="1" s="150"/>
    <row r="747" ht="15.75" customHeight="1" s="150"/>
    <row r="748" ht="15.75" customHeight="1" s="150"/>
    <row r="749" ht="15.75" customHeight="1" s="150"/>
    <row r="750" ht="15.75" customHeight="1" s="150"/>
    <row r="751" ht="15.75" customHeight="1" s="150"/>
    <row r="752" ht="15.75" customHeight="1" s="150"/>
    <row r="753" ht="15.75" customHeight="1" s="150"/>
    <row r="754" ht="15.75" customHeight="1" s="150"/>
    <row r="755" ht="15.75" customHeight="1" s="150"/>
    <row r="756" ht="15.75" customHeight="1" s="150"/>
    <row r="757" ht="15.75" customHeight="1" s="150"/>
    <row r="758" ht="15.75" customHeight="1" s="150"/>
    <row r="759" ht="15.75" customHeight="1" s="150"/>
    <row r="760" ht="15.75" customHeight="1" s="150"/>
    <row r="761" ht="15.75" customHeight="1" s="150"/>
    <row r="762" ht="15.75" customHeight="1" s="150"/>
    <row r="763" ht="15.75" customHeight="1" s="150"/>
    <row r="764" ht="15.75" customHeight="1" s="150"/>
    <row r="765" ht="15.75" customHeight="1" s="150"/>
    <row r="766" ht="15.75" customHeight="1" s="150"/>
    <row r="767" ht="15.75" customHeight="1" s="150"/>
    <row r="768" ht="15.75" customHeight="1" s="150"/>
    <row r="769" ht="15.75" customHeight="1" s="150"/>
    <row r="770" ht="15.75" customHeight="1" s="150"/>
    <row r="771" ht="15.75" customHeight="1" s="150"/>
    <row r="772" ht="15.75" customHeight="1" s="150"/>
    <row r="773" ht="15.75" customHeight="1" s="150"/>
    <row r="774" ht="15.75" customHeight="1" s="150"/>
    <row r="775" ht="15.75" customHeight="1" s="150"/>
    <row r="776" ht="15.75" customHeight="1" s="150"/>
    <row r="777" ht="15.75" customHeight="1" s="150"/>
    <row r="778" ht="15.75" customHeight="1" s="150"/>
    <row r="779" ht="15.75" customHeight="1" s="150"/>
    <row r="780" ht="15.75" customHeight="1" s="150"/>
    <row r="781" ht="15.75" customHeight="1" s="150"/>
    <row r="782" ht="15.75" customHeight="1" s="150"/>
    <row r="783" ht="15.75" customHeight="1" s="150"/>
    <row r="784" ht="15.75" customHeight="1" s="150"/>
    <row r="785" ht="15.75" customHeight="1" s="150"/>
    <row r="786" ht="15.75" customHeight="1" s="150"/>
    <row r="787" ht="15.75" customHeight="1" s="150"/>
    <row r="788" ht="15.75" customHeight="1" s="150"/>
    <row r="789" ht="15.75" customHeight="1" s="150"/>
    <row r="790" ht="15.75" customHeight="1" s="150"/>
    <row r="791" ht="15.75" customHeight="1" s="150"/>
    <row r="792" ht="15.75" customHeight="1" s="150"/>
    <row r="793" ht="15.75" customHeight="1" s="150"/>
    <row r="794" ht="15.75" customHeight="1" s="150"/>
    <row r="795" ht="15.75" customHeight="1" s="150"/>
    <row r="796" ht="15.75" customHeight="1" s="150"/>
    <row r="797" ht="15.75" customHeight="1" s="150"/>
    <row r="798" ht="15.75" customHeight="1" s="150"/>
    <row r="799" ht="15.75" customHeight="1" s="150"/>
    <row r="800" ht="15.75" customHeight="1" s="150"/>
    <row r="801" ht="15.75" customHeight="1" s="150"/>
    <row r="802" ht="15.75" customHeight="1" s="150"/>
    <row r="803" ht="15.75" customHeight="1" s="150"/>
    <row r="804" ht="15.75" customHeight="1" s="150"/>
    <row r="805" ht="15.75" customHeight="1" s="150"/>
    <row r="806" ht="15.75" customHeight="1" s="150"/>
    <row r="807" ht="15.75" customHeight="1" s="150"/>
    <row r="808" ht="15.75" customHeight="1" s="150"/>
    <row r="809" ht="15.75" customHeight="1" s="150"/>
    <row r="810" ht="15.75" customHeight="1" s="150"/>
    <row r="811" ht="15.75" customHeight="1" s="150"/>
    <row r="812" ht="15.75" customHeight="1" s="150"/>
    <row r="813" ht="15.75" customHeight="1" s="150"/>
    <row r="814" ht="15.75" customHeight="1" s="150"/>
    <row r="815" ht="15.75" customHeight="1" s="150"/>
    <row r="816" ht="15.75" customHeight="1" s="150"/>
    <row r="817" ht="15.75" customHeight="1" s="150"/>
    <row r="818" ht="15.75" customHeight="1" s="150"/>
    <row r="819" ht="15.75" customHeight="1" s="150"/>
    <row r="820" ht="15.75" customHeight="1" s="150"/>
    <row r="821" ht="15.75" customHeight="1" s="150"/>
    <row r="822" ht="15.75" customHeight="1" s="150"/>
    <row r="823" ht="15.75" customHeight="1" s="150"/>
    <row r="824" ht="15.75" customHeight="1" s="150"/>
    <row r="825" ht="15.75" customHeight="1" s="150"/>
    <row r="826" ht="15.75" customHeight="1" s="150"/>
    <row r="827" ht="15.75" customHeight="1" s="150"/>
    <row r="828" ht="15.75" customHeight="1" s="150"/>
    <row r="829" ht="15.75" customHeight="1" s="150"/>
    <row r="830" ht="15.75" customHeight="1" s="150"/>
    <row r="831" ht="15.75" customHeight="1" s="150"/>
    <row r="832" ht="15.75" customHeight="1" s="150"/>
    <row r="833" ht="15.75" customHeight="1" s="150"/>
    <row r="834" ht="15.75" customHeight="1" s="150"/>
    <row r="835" ht="15.75" customHeight="1" s="150"/>
    <row r="836" ht="15.75" customHeight="1" s="150"/>
    <row r="837" ht="15.75" customHeight="1" s="150"/>
    <row r="838" ht="15.75" customHeight="1" s="150"/>
    <row r="839" ht="15.75" customHeight="1" s="150"/>
    <row r="840" ht="15.75" customHeight="1" s="150"/>
    <row r="841" ht="15.75" customHeight="1" s="150"/>
    <row r="842" ht="15.75" customHeight="1" s="150"/>
    <row r="843" ht="15.75" customHeight="1" s="150"/>
    <row r="844" ht="15.75" customHeight="1" s="150"/>
    <row r="845" ht="15.75" customHeight="1" s="150"/>
    <row r="846" ht="15.75" customHeight="1" s="150"/>
    <row r="847" ht="15.75" customHeight="1" s="150"/>
    <row r="848" ht="15.75" customHeight="1" s="150"/>
    <row r="849" ht="15.75" customHeight="1" s="150"/>
    <row r="850" ht="15.75" customHeight="1" s="150"/>
    <row r="851" ht="15.75" customHeight="1" s="150"/>
    <row r="852" ht="15.75" customHeight="1" s="150"/>
    <row r="853" ht="15.75" customHeight="1" s="150"/>
    <row r="854" ht="15.75" customHeight="1" s="150"/>
    <row r="855" ht="15.75" customHeight="1" s="150"/>
    <row r="856" ht="15.75" customHeight="1" s="150"/>
    <row r="857" ht="15.75" customHeight="1" s="150"/>
    <row r="858" ht="15.75" customHeight="1" s="150"/>
    <row r="859" ht="15.75" customHeight="1" s="150"/>
    <row r="860" ht="15.75" customHeight="1" s="150"/>
    <row r="861" ht="15.75" customHeight="1" s="150"/>
    <row r="862" ht="15.75" customHeight="1" s="150"/>
    <row r="863" ht="15.75" customHeight="1" s="150"/>
    <row r="864" ht="15.75" customHeight="1" s="150"/>
    <row r="865" ht="15.75" customHeight="1" s="150"/>
    <row r="866" ht="15.75" customHeight="1" s="150"/>
    <row r="867" ht="15.75" customHeight="1" s="150"/>
    <row r="868" ht="15.75" customHeight="1" s="150"/>
    <row r="869" ht="15.75" customHeight="1" s="150"/>
    <row r="870" ht="15.75" customHeight="1" s="150"/>
    <row r="871" ht="15.75" customHeight="1" s="150"/>
    <row r="872" ht="15.75" customHeight="1" s="150"/>
    <row r="873" ht="15.75" customHeight="1" s="150"/>
    <row r="874" ht="15.75" customHeight="1" s="150"/>
    <row r="875" ht="15.75" customHeight="1" s="150"/>
    <row r="876" ht="15.75" customHeight="1" s="150"/>
    <row r="877" ht="15.75" customHeight="1" s="150"/>
    <row r="878" ht="15.75" customHeight="1" s="150"/>
    <row r="879" ht="15.75" customHeight="1" s="150"/>
    <row r="880" ht="15.75" customHeight="1" s="150"/>
    <row r="881" ht="15.75" customHeight="1" s="150"/>
    <row r="882" ht="15.75" customHeight="1" s="150"/>
    <row r="883" ht="15.75" customHeight="1" s="150"/>
    <row r="884" ht="15.75" customHeight="1" s="150"/>
    <row r="885" ht="15.75" customHeight="1" s="150"/>
    <row r="886" ht="15.75" customHeight="1" s="150"/>
    <row r="887" ht="15.75" customHeight="1" s="150"/>
    <row r="888" ht="15.75" customHeight="1" s="150"/>
    <row r="889" ht="15.75" customHeight="1" s="150"/>
    <row r="890" ht="15.75" customHeight="1" s="150"/>
    <row r="891" ht="15.75" customHeight="1" s="150"/>
    <row r="892" ht="15.75" customHeight="1" s="150"/>
    <row r="893" ht="15.75" customHeight="1" s="150"/>
    <row r="894" ht="15.75" customHeight="1" s="150"/>
    <row r="895" ht="15.75" customHeight="1" s="150"/>
    <row r="896" ht="15.75" customHeight="1" s="150"/>
    <row r="897" ht="15.75" customHeight="1" s="150"/>
    <row r="898" ht="15.75" customHeight="1" s="150"/>
    <row r="899" ht="15.75" customHeight="1" s="150"/>
    <row r="900" ht="15.75" customHeight="1" s="150"/>
    <row r="901" ht="15.75" customHeight="1" s="150"/>
    <row r="902" ht="15.75" customHeight="1" s="150"/>
    <row r="903" ht="15.75" customHeight="1" s="150"/>
    <row r="904" ht="15.75" customHeight="1" s="150"/>
    <row r="905" ht="15.75" customHeight="1" s="150"/>
    <row r="906" ht="15.75" customHeight="1" s="150"/>
    <row r="907" ht="15.75" customHeight="1" s="150"/>
    <row r="908" ht="15.75" customHeight="1" s="150"/>
    <row r="909" ht="15.75" customHeight="1" s="150"/>
    <row r="910" ht="15.75" customHeight="1" s="150"/>
    <row r="911" ht="15.75" customHeight="1" s="150"/>
    <row r="912" ht="15.75" customHeight="1" s="150"/>
    <row r="913" ht="15.75" customHeight="1" s="150"/>
    <row r="914" ht="15.75" customHeight="1" s="150"/>
    <row r="915" ht="15.75" customHeight="1" s="150"/>
    <row r="916" ht="15.75" customHeight="1" s="150"/>
    <row r="917" ht="15.75" customHeight="1" s="150"/>
    <row r="918" ht="15.75" customHeight="1" s="150"/>
    <row r="919" ht="15.75" customHeight="1" s="150"/>
    <row r="920" ht="15.75" customHeight="1" s="150"/>
    <row r="921" ht="15.75" customHeight="1" s="150"/>
    <row r="922" ht="15.75" customHeight="1" s="150"/>
    <row r="923" ht="15.75" customHeight="1" s="150"/>
    <row r="924" ht="15.75" customHeight="1" s="150"/>
    <row r="925" ht="15.75" customHeight="1" s="150"/>
    <row r="926" ht="15.75" customHeight="1" s="150"/>
    <row r="927" ht="15.75" customHeight="1" s="150"/>
    <row r="928" ht="15.75" customHeight="1" s="150"/>
    <row r="929" ht="15.75" customHeight="1" s="150"/>
    <row r="930" ht="15.75" customHeight="1" s="150"/>
    <row r="931" ht="15.75" customHeight="1" s="150"/>
    <row r="932" ht="15.75" customHeight="1" s="150"/>
    <row r="933" ht="15.75" customHeight="1" s="150"/>
    <row r="934" ht="15.75" customHeight="1" s="150"/>
    <row r="935" ht="15.75" customHeight="1" s="150"/>
    <row r="936" ht="15.75" customHeight="1" s="150"/>
    <row r="937" ht="15.75" customHeight="1" s="150"/>
    <row r="938" ht="15.75" customHeight="1" s="150"/>
    <row r="939" ht="15.75" customHeight="1" s="150"/>
    <row r="940" ht="15.75" customHeight="1" s="150"/>
    <row r="941" ht="15.75" customHeight="1" s="150"/>
    <row r="942" ht="15.75" customHeight="1" s="150"/>
    <row r="943" ht="15.75" customHeight="1" s="150"/>
    <row r="944" ht="15.75" customHeight="1" s="150"/>
    <row r="945" ht="15.75" customHeight="1" s="150"/>
    <row r="946" ht="15.75" customHeight="1" s="150"/>
    <row r="947" ht="15.75" customHeight="1" s="150"/>
    <row r="948" ht="15.75" customHeight="1" s="150"/>
    <row r="949" ht="15.75" customHeight="1" s="150"/>
    <row r="950" ht="15.75" customHeight="1" s="150"/>
    <row r="951" ht="15.75" customHeight="1" s="150"/>
    <row r="952" ht="15.75" customHeight="1" s="150"/>
    <row r="953" ht="15.75" customHeight="1" s="150"/>
    <row r="954" ht="15.75" customHeight="1" s="150"/>
    <row r="955" ht="15.75" customHeight="1" s="150"/>
    <row r="956" ht="15.75" customHeight="1" s="150"/>
    <row r="957" ht="15.75" customHeight="1" s="150"/>
    <row r="958" ht="15.75" customHeight="1" s="150"/>
    <row r="959" ht="15.75" customHeight="1" s="150"/>
    <row r="960" ht="15.75" customHeight="1" s="150"/>
    <row r="961" ht="15.75" customHeight="1" s="150"/>
    <row r="962" ht="15.75" customHeight="1" s="150"/>
    <row r="963" ht="15.75" customHeight="1" s="150"/>
    <row r="964" ht="15.75" customHeight="1" s="150"/>
    <row r="965" ht="15.75" customHeight="1" s="150"/>
    <row r="966" ht="15.75" customHeight="1" s="150"/>
    <row r="967" ht="15.75" customHeight="1" s="150"/>
    <row r="968" ht="15.75" customHeight="1" s="150"/>
    <row r="969" ht="15.75" customHeight="1" s="150"/>
    <row r="970" ht="15.75" customHeight="1" s="150"/>
    <row r="971" ht="15.75" customHeight="1" s="150"/>
    <row r="972" ht="15.75" customHeight="1" s="150"/>
    <row r="973" ht="15.75" customHeight="1" s="150"/>
    <row r="974" ht="15.75" customHeight="1" s="150"/>
    <row r="975" ht="15.75" customHeight="1" s="150"/>
    <row r="976" ht="15.75" customHeight="1" s="150"/>
    <row r="977" ht="15.75" customHeight="1" s="150"/>
    <row r="978" ht="15.75" customHeight="1" s="150"/>
    <row r="979" ht="15.75" customHeight="1" s="150"/>
    <row r="980" ht="15.75" customHeight="1" s="150"/>
    <row r="981" ht="15.75" customHeight="1" s="150"/>
    <row r="982" ht="15.75" customHeight="1" s="150"/>
    <row r="983" ht="15.75" customHeight="1" s="150"/>
    <row r="984" ht="15.75" customHeight="1" s="150"/>
    <row r="985" ht="15.75" customHeight="1" s="150"/>
    <row r="986" ht="15.75" customHeight="1" s="150"/>
    <row r="987" ht="15.75" customHeight="1" s="150"/>
    <row r="988" ht="15.75" customHeight="1" s="150"/>
    <row r="989" ht="15.75" customHeight="1" s="150"/>
    <row r="990" ht="15.75" customHeight="1" s="150"/>
    <row r="991" ht="15.75" customHeight="1" s="150"/>
    <row r="992" ht="15.75" customHeight="1" s="150"/>
    <row r="993" ht="15.75" customHeight="1" s="150"/>
    <row r="994" ht="15.75" customHeight="1" s="150"/>
    <row r="995" ht="15.75" customHeight="1" s="150"/>
    <row r="996" ht="15.75" customHeight="1" s="150"/>
    <row r="997" ht="15.75" customHeight="1" s="150"/>
    <row r="998" ht="15.75" customHeight="1" s="150"/>
    <row r="999" ht="15.75" customHeight="1" s="150"/>
  </sheetData>
  <autoFilter ref="B8:H26"/>
  <mergeCells count="1">
    <mergeCell ref="G7:H7"/>
  </mergeCells>
  <pageMargins left="0.7" right="0.7" top="0.75" bottom="0.75" header="0" footer="0"/>
  <pageSetup orientation="landscape" paperSize="9" fitToHeight="0"/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F2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9" sqref="C9"/>
    </sheetView>
  </sheetViews>
  <sheetFormatPr baseColWidth="10" defaultColWidth="12.59765625" defaultRowHeight="15" customHeight="1"/>
  <cols>
    <col width="1.59765625" customWidth="1" style="150" min="1" max="1"/>
    <col width="40.3984375" customWidth="1" style="150" min="2" max="2"/>
    <col width="27.73046875" customWidth="1" style="150" min="3" max="4"/>
    <col width="11.86328125" customWidth="1" style="150" min="5" max="5"/>
    <col width="15.3984375" customWidth="1" style="150" min="6" max="6"/>
  </cols>
  <sheetData>
    <row r="1" ht="12.75" customHeight="1" s="150">
      <c r="A1" s="1" t="inlineStr">
        <is>
          <t xml:space="preserve"> </t>
        </is>
      </c>
      <c r="B1" s="1" t="n"/>
      <c r="C1" s="1" t="n"/>
      <c r="D1" s="1" t="n"/>
      <c r="E1" s="1" t="n"/>
      <c r="F1" s="1" t="n"/>
    </row>
    <row r="2" ht="12.75" customHeight="1" s="150">
      <c r="A2" s="1" t="n"/>
      <c r="B2" s="2" t="inlineStr">
        <is>
          <t>Annahmen Feld</t>
        </is>
      </c>
      <c r="C2" s="1" t="n"/>
      <c r="D2" s="1" t="n"/>
      <c r="E2" s="1" t="n"/>
      <c r="F2" s="1" t="n"/>
    </row>
    <row r="3" ht="33.75" customHeight="1" s="150">
      <c r="A3" s="1" t="n"/>
      <c r="B3" s="4" t="inlineStr">
        <is>
          <t>INPUT - Finanzierung</t>
        </is>
      </c>
      <c r="C3" s="5" t="n"/>
      <c r="D3" s="6" t="n"/>
      <c r="E3" s="6" t="n"/>
      <c r="F3" s="1" t="n"/>
    </row>
    <row r="4" ht="12.75" customHeight="1" s="150">
      <c r="A4" s="1" t="n"/>
      <c r="B4" s="7" t="n"/>
      <c r="C4" s="8" t="n"/>
      <c r="D4" s="49" t="inlineStr">
        <is>
          <t>Stand</t>
        </is>
      </c>
      <c r="E4" s="50" t="inlineStr">
        <is>
          <t>07.07.2025</t>
        </is>
      </c>
      <c r="F4" s="1" t="n"/>
    </row>
    <row r="5" ht="12.75" customHeight="1" s="150">
      <c r="A5" s="10" t="n"/>
      <c r="B5" s="51" t="n"/>
      <c r="C5" s="51" t="n"/>
      <c r="D5" s="51" t="n"/>
      <c r="E5" s="51" t="n"/>
      <c r="F5" s="10" t="n"/>
    </row>
    <row r="6">
      <c r="A6" s="10" t="n"/>
      <c r="B6" s="52" t="inlineStr">
        <is>
          <t>Bankendarlehen (FK)</t>
        </is>
      </c>
      <c r="C6" s="53" t="n"/>
      <c r="D6" s="53" t="n"/>
      <c r="E6" s="54" t="n"/>
      <c r="F6" s="55" t="n"/>
    </row>
    <row r="7" ht="13.9" customHeight="1" s="150">
      <c r="A7" s="10" t="n"/>
      <c r="B7" s="66" t="inlineStr">
        <is>
          <t>Darlehen Bank (FK)</t>
        </is>
      </c>
      <c r="C7" s="143">
        <f>Kaufpreis</f>
        <v/>
      </c>
      <c r="D7" s="124" t="n"/>
      <c r="E7" s="125" t="n"/>
      <c r="F7" s="55" t="n"/>
    </row>
    <row r="8">
      <c r="A8" s="10" t="n"/>
      <c r="B8" s="126" t="inlineStr">
        <is>
          <t>Leverage (% vom Kaufpreis) (LTV)</t>
        </is>
      </c>
      <c r="C8" s="144">
        <f>C7/Kaufpreis</f>
        <v/>
      </c>
      <c r="D8" s="127" t="n"/>
      <c r="E8" s="128" t="n"/>
      <c r="F8" s="15" t="n"/>
    </row>
    <row r="9">
      <c r="A9" s="10" t="n"/>
      <c r="B9" s="68" t="inlineStr">
        <is>
          <t>Strukturierungsentgelt</t>
        </is>
      </c>
      <c r="C9" s="144" t="n">
        <v>0</v>
      </c>
      <c r="D9" s="127" t="n"/>
      <c r="E9" s="128" t="n"/>
      <c r="F9" s="15" t="n"/>
    </row>
    <row r="10">
      <c r="A10" s="10" t="n"/>
      <c r="B10" s="68" t="inlineStr">
        <is>
          <t>Tilgung p.a.</t>
        </is>
      </c>
      <c r="C10" s="190" t="n">
        <v>0.01</v>
      </c>
      <c r="D10" s="127" t="n"/>
      <c r="E10" s="128" t="n"/>
      <c r="F10" s="15" t="n"/>
    </row>
    <row r="11">
      <c r="A11" s="10" t="n"/>
      <c r="B11" s="68" t="inlineStr">
        <is>
          <t>Zins p.a.</t>
        </is>
      </c>
      <c r="C11" s="190" t="n">
        <v>0.04</v>
      </c>
      <c r="D11" s="129" t="n"/>
      <c r="E11" s="130" t="n"/>
      <c r="F11" s="15" t="n"/>
    </row>
    <row r="12" ht="13.9" customHeight="1" s="150">
      <c r="A12" s="10" t="n"/>
      <c r="B12" s="68" t="inlineStr">
        <is>
          <t>Tilgungsfreie Zeit (in Monaten)</t>
        </is>
      </c>
      <c r="C12" s="145" t="n">
        <v>0</v>
      </c>
      <c r="D12" s="127" t="n"/>
      <c r="E12" s="128" t="n"/>
      <c r="F12" s="15" t="n"/>
    </row>
    <row r="13" ht="13.5" customHeight="1" s="150">
      <c r="A13" s="10" t="n"/>
      <c r="B13" s="131" t="n"/>
      <c r="C13" s="145" t="n"/>
      <c r="D13" s="43" t="n"/>
      <c r="E13" s="132" t="n"/>
      <c r="F13" s="15" t="n"/>
    </row>
    <row r="14" ht="13.9" customHeight="1" s="150">
      <c r="A14" s="10" t="n"/>
      <c r="B14" s="68" t="inlineStr">
        <is>
          <t>Kapitalbindung Bankendarlehen (in Jahren)</t>
        </is>
      </c>
      <c r="C14" s="145" t="n">
        <v>1.5</v>
      </c>
      <c r="D14" s="43" t="n"/>
      <c r="E14" s="130" t="n"/>
      <c r="F14" s="15" t="n"/>
    </row>
    <row r="15" ht="13.9" customHeight="1" s="150">
      <c r="A15" s="10" t="n"/>
      <c r="B15" s="75" t="inlineStr">
        <is>
          <t>Zinskosten Bank über Projektdauer</t>
        </is>
      </c>
      <c r="C15" s="133">
        <f>C9*C7+C7*C11*C14</f>
        <v/>
      </c>
      <c r="D15" s="134" t="n"/>
      <c r="E15" s="135" t="n"/>
      <c r="F15" s="15" t="n"/>
    </row>
    <row r="16" ht="12.75" customHeight="1" s="150">
      <c r="A16" s="10" t="n"/>
      <c r="B16" s="136" t="n"/>
      <c r="C16" s="136" t="n"/>
      <c r="D16" s="136" t="n"/>
      <c r="E16" s="136" t="n"/>
      <c r="F16" s="10" t="n"/>
    </row>
    <row r="17" ht="15.75" customHeight="1" s="150">
      <c r="A17" s="48" t="n"/>
      <c r="B17" s="11" t="inlineStr">
        <is>
          <t>Eigenkapital (EK)</t>
        </is>
      </c>
      <c r="C17" s="138" t="n"/>
      <c r="D17" s="138" t="n"/>
      <c r="E17" s="139" t="n"/>
      <c r="F17" s="48" t="n"/>
    </row>
    <row r="18" ht="15.75" customHeight="1" s="150">
      <c r="A18" s="48" t="n"/>
      <c r="B18" s="68" t="inlineStr">
        <is>
          <t xml:space="preserve">Notwendiges EK </t>
        </is>
      </c>
      <c r="C18" s="140">
        <f>Gesamtinvestitionskosten-C7</f>
        <v/>
      </c>
      <c r="D18" s="43" t="n"/>
      <c r="E18" s="130" t="n"/>
      <c r="F18" s="48" t="n"/>
    </row>
    <row r="19" ht="15.75" customHeight="1" s="150">
      <c r="A19" s="48" t="n"/>
      <c r="B19" s="141" t="inlineStr">
        <is>
          <t xml:space="preserve">Gesamt Zinskosten </t>
        </is>
      </c>
      <c r="C19" s="137">
        <f>C15</f>
        <v/>
      </c>
      <c r="D19" s="134" t="n"/>
      <c r="E19" s="135" t="n"/>
      <c r="F19" s="48" t="n"/>
    </row>
    <row r="20" ht="15.75" customHeight="1" s="150">
      <c r="A20" s="48" t="n"/>
      <c r="B20" s="48" t="n"/>
      <c r="C20" s="191" t="inlineStr">
        <is>
          <t>Monthly Rent</t>
        </is>
      </c>
      <c r="D20" s="191" t="n">
        <v>0</v>
      </c>
      <c r="E20" s="48" t="n"/>
      <c r="F20" s="48" t="n"/>
    </row>
    <row r="21" ht="15.75" customHeight="1" s="150">
      <c r="A21" s="48" t="n"/>
      <c r="B21" s="48" t="n"/>
      <c r="C21" s="191" t="inlineStr">
        <is>
          <t>Annual Rent</t>
        </is>
      </c>
      <c r="D21" s="191" t="n">
        <v>0</v>
      </c>
      <c r="E21" s="48" t="n"/>
      <c r="F21" s="48" t="n"/>
    </row>
    <row r="22" ht="15.75" customHeight="1" s="150">
      <c r="A22" s="48" t="n"/>
      <c r="B22" s="48" t="n"/>
      <c r="C22" s="191" t="inlineStr">
        <is>
          <t>Price per sqm</t>
        </is>
      </c>
      <c r="D22" s="191" t="n">
        <v>3200</v>
      </c>
      <c r="E22" s="48" t="n"/>
      <c r="F22" s="48" t="n"/>
    </row>
    <row r="23" ht="15.75" customHeight="1" s="150">
      <c r="A23" s="48" t="n"/>
      <c r="B23" s="48" t="n"/>
      <c r="C23" s="191" t="inlineStr">
        <is>
          <t>Estimated Price</t>
        </is>
      </c>
      <c r="D23" s="191" t="n">
        <v>1902528</v>
      </c>
      <c r="E23" s="48" t="n"/>
      <c r="F23" s="48" t="n"/>
    </row>
    <row r="24">
      <c r="C24" s="192" t="inlineStr">
        <is>
          <t>Gross Yield (%)</t>
        </is>
      </c>
      <c r="D24" s="192" t="n">
        <v>0</v>
      </c>
    </row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Alexander Schröder</dc:creator>
  <dcterms:created xmlns:dcterms="http://purl.org/dc/terms/" xmlns:xsi="http://www.w3.org/2001/XMLSchema-instance" xsi:type="dcterms:W3CDTF">2026-03-11T03:43:38Z</dcterms:created>
  <dcterms:modified xmlns:dcterms="http://purl.org/dc/terms/" xmlns:xsi="http://www.w3.org/2001/XMLSchema-instance" xsi:type="dcterms:W3CDTF">2026-03-26T14:28:05Z</dcterms:modified>
  <cp:lastModifiedBy>Alexander Schröder</cp:lastModifiedBy>
</cp:coreProperties>
</file>